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菜真寒\Desktop\交易日志\"/>
    </mc:Choice>
  </mc:AlternateContent>
  <xr:revisionPtr revIDLastSave="0" documentId="13_ncr:1_{58F8F119-EBD9-4E1A-921A-70B1F39BC4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日志" sheetId="1" r:id="rId1"/>
    <sheet name="错误类型" sheetId="2" r:id="rId2"/>
    <sheet name="别瞎搞日记本" sheetId="3" r:id="rId3"/>
  </sheets>
  <definedNames>
    <definedName name="_xlnm._FilterDatabase" localSheetId="0" hidden="1">日志!$C$1:$W$504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I1" i="1"/>
  <c r="J1" i="1" s="1"/>
  <c r="K1" i="1"/>
  <c r="B10" i="2"/>
  <c r="B9" i="2"/>
  <c r="B8" i="2"/>
  <c r="B7" i="2"/>
  <c r="B6" i="2"/>
  <c r="B5" i="2"/>
  <c r="B4" i="2"/>
  <c r="B3" i="2"/>
  <c r="B2" i="2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L362" i="1"/>
  <c r="L361" i="1"/>
  <c r="M361" i="1" s="1"/>
  <c r="L360" i="1"/>
  <c r="L359" i="1"/>
  <c r="M359" i="1" s="1"/>
  <c r="L358" i="1"/>
  <c r="L357" i="1"/>
  <c r="L356" i="1"/>
  <c r="M356" i="1" s="1"/>
  <c r="L355" i="1"/>
  <c r="L354" i="1"/>
  <c r="M354" i="1" s="1"/>
  <c r="L353" i="1"/>
  <c r="M353" i="1" s="1"/>
  <c r="L352" i="1"/>
  <c r="M352" i="1" s="1"/>
  <c r="L351" i="1"/>
  <c r="M351" i="1" s="1"/>
  <c r="L350" i="1"/>
  <c r="L349" i="1"/>
  <c r="M349" i="1" s="1"/>
  <c r="L348" i="1"/>
  <c r="M348" i="1" s="1"/>
  <c r="L347" i="1"/>
  <c r="L346" i="1"/>
  <c r="M346" i="1" s="1"/>
  <c r="L345" i="1"/>
  <c r="M345" i="1" s="1"/>
  <c r="L344" i="1"/>
  <c r="L343" i="1"/>
  <c r="M343" i="1" s="1"/>
  <c r="L342" i="1"/>
  <c r="L341" i="1"/>
  <c r="M341" i="1" s="1"/>
  <c r="L340" i="1"/>
  <c r="L339" i="1"/>
  <c r="M339" i="1" s="1"/>
  <c r="L338" i="1"/>
  <c r="M338" i="1" s="1"/>
  <c r="L337" i="1"/>
  <c r="M337" i="1" s="1"/>
  <c r="L336" i="1"/>
  <c r="L335" i="1"/>
  <c r="M335" i="1" s="1"/>
  <c r="L334" i="1"/>
  <c r="L333" i="1"/>
  <c r="M333" i="1" s="1"/>
  <c r="L332" i="1"/>
  <c r="M332" i="1" s="1"/>
  <c r="L331" i="1"/>
  <c r="L330" i="1"/>
  <c r="M330" i="1" s="1"/>
  <c r="L329" i="1"/>
  <c r="M329" i="1" s="1"/>
  <c r="L328" i="1"/>
  <c r="L327" i="1"/>
  <c r="L326" i="1"/>
  <c r="M326" i="1" s="1"/>
  <c r="L325" i="1"/>
  <c r="M325" i="1" s="1"/>
  <c r="L324" i="1"/>
  <c r="M324" i="1" s="1"/>
  <c r="L323" i="1"/>
  <c r="L322" i="1"/>
  <c r="M322" i="1" s="1"/>
  <c r="L321" i="1"/>
  <c r="M321" i="1" s="1"/>
  <c r="L320" i="1"/>
  <c r="L319" i="1"/>
  <c r="M319" i="1" s="1"/>
  <c r="L318" i="1"/>
  <c r="L317" i="1"/>
  <c r="M317" i="1" s="1"/>
  <c r="L316" i="1"/>
  <c r="M316" i="1" s="1"/>
  <c r="L315" i="1"/>
  <c r="L314" i="1"/>
  <c r="L313" i="1"/>
  <c r="M313" i="1" s="1"/>
  <c r="L312" i="1"/>
  <c r="L311" i="1"/>
  <c r="M311" i="1" s="1"/>
  <c r="L310" i="1"/>
  <c r="L309" i="1"/>
  <c r="L308" i="1"/>
  <c r="M308" i="1" s="1"/>
  <c r="L307" i="1"/>
  <c r="L306" i="1"/>
  <c r="M306" i="1" s="1"/>
  <c r="L305" i="1"/>
  <c r="M305" i="1" s="1"/>
  <c r="L304" i="1"/>
  <c r="M304" i="1" s="1"/>
  <c r="L303" i="1"/>
  <c r="M303" i="1" s="1"/>
  <c r="L302" i="1"/>
  <c r="L301" i="1"/>
  <c r="M301" i="1" s="1"/>
  <c r="L300" i="1"/>
  <c r="M300" i="1" s="1"/>
  <c r="L299" i="1"/>
  <c r="L298" i="1"/>
  <c r="M298" i="1" s="1"/>
  <c r="L297" i="1"/>
  <c r="M297" i="1" s="1"/>
  <c r="L296" i="1"/>
  <c r="L295" i="1"/>
  <c r="M295" i="1" s="1"/>
  <c r="L294" i="1"/>
  <c r="L293" i="1"/>
  <c r="M293" i="1" s="1"/>
  <c r="L292" i="1"/>
  <c r="L291" i="1"/>
  <c r="M291" i="1" s="1"/>
  <c r="L290" i="1"/>
  <c r="M290" i="1" s="1"/>
  <c r="L289" i="1"/>
  <c r="M289" i="1" s="1"/>
  <c r="L288" i="1"/>
  <c r="L287" i="1"/>
  <c r="M287" i="1" s="1"/>
  <c r="L286" i="1"/>
  <c r="L285" i="1"/>
  <c r="M285" i="1" s="1"/>
  <c r="L284" i="1"/>
  <c r="M284" i="1" s="1"/>
  <c r="L283" i="1"/>
  <c r="L282" i="1"/>
  <c r="M282" i="1" s="1"/>
  <c r="L281" i="1"/>
  <c r="M281" i="1" s="1"/>
  <c r="L280" i="1"/>
  <c r="L279" i="1"/>
  <c r="L278" i="1"/>
  <c r="M278" i="1" s="1"/>
  <c r="L277" i="1"/>
  <c r="M277" i="1" s="1"/>
  <c r="L276" i="1"/>
  <c r="M276" i="1" s="1"/>
  <c r="L275" i="1"/>
  <c r="L274" i="1"/>
  <c r="M274" i="1" s="1"/>
  <c r="L273" i="1"/>
  <c r="M273" i="1" s="1"/>
  <c r="L272" i="1"/>
  <c r="L271" i="1"/>
  <c r="M271" i="1" s="1"/>
  <c r="L270" i="1"/>
  <c r="L269" i="1"/>
  <c r="M269" i="1" s="1"/>
  <c r="L268" i="1"/>
  <c r="M268" i="1" s="1"/>
  <c r="L267" i="1"/>
  <c r="L266" i="1"/>
  <c r="L265" i="1"/>
  <c r="M265" i="1" s="1"/>
  <c r="L264" i="1"/>
  <c r="L263" i="1"/>
  <c r="M263" i="1" s="1"/>
  <c r="L262" i="1"/>
  <c r="L261" i="1"/>
  <c r="L260" i="1"/>
  <c r="M260" i="1" s="1"/>
  <c r="L259" i="1"/>
  <c r="L258" i="1"/>
  <c r="M258" i="1" s="1"/>
  <c r="L257" i="1"/>
  <c r="M257" i="1" s="1"/>
  <c r="L256" i="1"/>
  <c r="M256" i="1" s="1"/>
  <c r="L255" i="1"/>
  <c r="M255" i="1" s="1"/>
  <c r="L254" i="1"/>
  <c r="L253" i="1"/>
  <c r="M253" i="1" s="1"/>
  <c r="L252" i="1"/>
  <c r="M252" i="1" s="1"/>
  <c r="L251" i="1"/>
  <c r="L250" i="1"/>
  <c r="M250" i="1" s="1"/>
  <c r="L249" i="1"/>
  <c r="M249" i="1" s="1"/>
  <c r="L248" i="1"/>
  <c r="L247" i="1"/>
  <c r="M247" i="1" s="1"/>
  <c r="L246" i="1"/>
  <c r="L245" i="1"/>
  <c r="M245" i="1" s="1"/>
  <c r="L244" i="1"/>
  <c r="L243" i="1"/>
  <c r="M243" i="1" s="1"/>
  <c r="L242" i="1"/>
  <c r="M242" i="1" s="1"/>
  <c r="L241" i="1"/>
  <c r="M241" i="1" s="1"/>
  <c r="L240" i="1"/>
  <c r="L239" i="1"/>
  <c r="M239" i="1" s="1"/>
  <c r="L238" i="1"/>
  <c r="L237" i="1"/>
  <c r="M237" i="1" s="1"/>
  <c r="L236" i="1"/>
  <c r="M236" i="1" s="1"/>
  <c r="L235" i="1"/>
  <c r="L234" i="1"/>
  <c r="M234" i="1" s="1"/>
  <c r="L233" i="1"/>
  <c r="M233" i="1" s="1"/>
  <c r="L232" i="1"/>
  <c r="L231" i="1"/>
  <c r="L230" i="1"/>
  <c r="M230" i="1" s="1"/>
  <c r="L229" i="1"/>
  <c r="M229" i="1" s="1"/>
  <c r="L228" i="1"/>
  <c r="M228" i="1" s="1"/>
  <c r="L227" i="1"/>
  <c r="L226" i="1"/>
  <c r="M226" i="1" s="1"/>
  <c r="L225" i="1"/>
  <c r="M225" i="1" s="1"/>
  <c r="L224" i="1"/>
  <c r="L223" i="1"/>
  <c r="M223" i="1" s="1"/>
  <c r="L222" i="1"/>
  <c r="L221" i="1"/>
  <c r="M221" i="1" s="1"/>
  <c r="L220" i="1"/>
  <c r="M220" i="1" s="1"/>
  <c r="L219" i="1"/>
  <c r="L218" i="1"/>
  <c r="L217" i="1"/>
  <c r="M217" i="1" s="1"/>
  <c r="L216" i="1"/>
  <c r="L215" i="1"/>
  <c r="M215" i="1" s="1"/>
  <c r="L214" i="1"/>
  <c r="L213" i="1"/>
  <c r="L212" i="1"/>
  <c r="M212" i="1" s="1"/>
  <c r="L211" i="1"/>
  <c r="L210" i="1"/>
  <c r="M210" i="1" s="1"/>
  <c r="L209" i="1"/>
  <c r="M209" i="1" s="1"/>
  <c r="L208" i="1"/>
  <c r="M208" i="1" s="1"/>
  <c r="L207" i="1"/>
  <c r="M207" i="1" s="1"/>
  <c r="L206" i="1"/>
  <c r="L205" i="1"/>
  <c r="M205" i="1" s="1"/>
  <c r="L204" i="1"/>
  <c r="M204" i="1" s="1"/>
  <c r="L203" i="1"/>
  <c r="L202" i="1"/>
  <c r="M202" i="1" s="1"/>
  <c r="L201" i="1"/>
  <c r="M201" i="1" s="1"/>
  <c r="L200" i="1"/>
  <c r="L199" i="1"/>
  <c r="M199" i="1" s="1"/>
  <c r="L198" i="1"/>
  <c r="L197" i="1"/>
  <c r="M197" i="1" s="1"/>
  <c r="L196" i="1"/>
  <c r="L195" i="1"/>
  <c r="M195" i="1" s="1"/>
  <c r="L194" i="1"/>
  <c r="M194" i="1" s="1"/>
  <c r="L193" i="1"/>
  <c r="M193" i="1" s="1"/>
  <c r="L192" i="1"/>
  <c r="L191" i="1"/>
  <c r="M191" i="1" s="1"/>
  <c r="L190" i="1"/>
  <c r="L189" i="1"/>
  <c r="M189" i="1" s="1"/>
  <c r="L188" i="1"/>
  <c r="M188" i="1" s="1"/>
  <c r="L187" i="1"/>
  <c r="L186" i="1"/>
  <c r="M186" i="1" s="1"/>
  <c r="L185" i="1"/>
  <c r="M185" i="1" s="1"/>
  <c r="L184" i="1"/>
  <c r="L183" i="1"/>
  <c r="L182" i="1"/>
  <c r="M182" i="1" s="1"/>
  <c r="L181" i="1"/>
  <c r="M181" i="1" s="1"/>
  <c r="L180" i="1"/>
  <c r="M180" i="1" s="1"/>
  <c r="L179" i="1"/>
  <c r="L178" i="1"/>
  <c r="M178" i="1" s="1"/>
  <c r="L177" i="1"/>
  <c r="M177" i="1" s="1"/>
  <c r="L176" i="1"/>
  <c r="L175" i="1"/>
  <c r="M175" i="1" s="1"/>
  <c r="L174" i="1"/>
  <c r="L173" i="1"/>
  <c r="M173" i="1" s="1"/>
  <c r="L172" i="1"/>
  <c r="M172" i="1" s="1"/>
  <c r="L171" i="1"/>
  <c r="L170" i="1"/>
  <c r="L169" i="1"/>
  <c r="M169" i="1" s="1"/>
  <c r="L168" i="1"/>
  <c r="L167" i="1"/>
  <c r="M167" i="1" s="1"/>
  <c r="L166" i="1"/>
  <c r="L165" i="1"/>
  <c r="M165" i="1" s="1"/>
  <c r="L164" i="1"/>
  <c r="M164" i="1" s="1"/>
  <c r="L163" i="1"/>
  <c r="L162" i="1"/>
  <c r="M162" i="1" s="1"/>
  <c r="L161" i="1"/>
  <c r="L160" i="1"/>
  <c r="M160" i="1" s="1"/>
  <c r="L159" i="1"/>
  <c r="M159" i="1" s="1"/>
  <c r="L158" i="1"/>
  <c r="L157" i="1"/>
  <c r="M157" i="1" s="1"/>
  <c r="L156" i="1"/>
  <c r="M156" i="1" s="1"/>
  <c r="L155" i="1"/>
  <c r="L154" i="1"/>
  <c r="M154" i="1" s="1"/>
  <c r="L153" i="1"/>
  <c r="M153" i="1" s="1"/>
  <c r="L152" i="1"/>
  <c r="L151" i="1"/>
  <c r="M151" i="1" s="1"/>
  <c r="L150" i="1"/>
  <c r="L149" i="1"/>
  <c r="M149" i="1" s="1"/>
  <c r="L148" i="1"/>
  <c r="L147" i="1"/>
  <c r="M147" i="1" s="1"/>
  <c r="L146" i="1"/>
  <c r="M146" i="1" s="1"/>
  <c r="L145" i="1"/>
  <c r="M145" i="1" s="1"/>
  <c r="L144" i="1"/>
  <c r="L143" i="1"/>
  <c r="M143" i="1" s="1"/>
  <c r="L142" i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L135" i="1"/>
  <c r="L134" i="1"/>
  <c r="M134" i="1" s="1"/>
  <c r="L133" i="1"/>
  <c r="M133" i="1" s="1"/>
  <c r="L132" i="1"/>
  <c r="M132" i="1" s="1"/>
  <c r="L131" i="1"/>
  <c r="L130" i="1"/>
  <c r="M130" i="1" s="1"/>
  <c r="L129" i="1"/>
  <c r="M129" i="1" s="1"/>
  <c r="L128" i="1"/>
  <c r="L127" i="1"/>
  <c r="M127" i="1" s="1"/>
  <c r="L126" i="1"/>
  <c r="L125" i="1"/>
  <c r="M125" i="1" s="1"/>
  <c r="L124" i="1"/>
  <c r="M124" i="1" s="1"/>
  <c r="L123" i="1"/>
  <c r="L122" i="1"/>
  <c r="L121" i="1"/>
  <c r="M121" i="1" s="1"/>
  <c r="L120" i="1"/>
  <c r="L119" i="1"/>
  <c r="M119" i="1" s="1"/>
  <c r="L118" i="1"/>
  <c r="L117" i="1"/>
  <c r="M117" i="1" s="1"/>
  <c r="L116" i="1"/>
  <c r="L115" i="1"/>
  <c r="M115" i="1" s="1"/>
  <c r="L114" i="1"/>
  <c r="L113" i="1"/>
  <c r="M113" i="1" s="1"/>
  <c r="L112" i="1"/>
  <c r="L111" i="1"/>
  <c r="M111" i="1" s="1"/>
  <c r="L110" i="1"/>
  <c r="L109" i="1"/>
  <c r="M109" i="1" s="1"/>
  <c r="L108" i="1"/>
  <c r="L107" i="1"/>
  <c r="M107" i="1" s="1"/>
  <c r="L106" i="1"/>
  <c r="L105" i="1"/>
  <c r="M105" i="1" s="1"/>
  <c r="L104" i="1"/>
  <c r="L103" i="1"/>
  <c r="M103" i="1" s="1"/>
  <c r="L102" i="1"/>
  <c r="L101" i="1"/>
  <c r="M101" i="1" s="1"/>
  <c r="L100" i="1"/>
  <c r="L99" i="1"/>
  <c r="M99" i="1" s="1"/>
  <c r="L98" i="1"/>
  <c r="L97" i="1"/>
  <c r="M97" i="1" s="1"/>
  <c r="L96" i="1"/>
  <c r="L95" i="1"/>
  <c r="M95" i="1" s="1"/>
  <c r="L94" i="1"/>
  <c r="L93" i="1"/>
  <c r="M93" i="1" s="1"/>
  <c r="L92" i="1"/>
  <c r="L91" i="1"/>
  <c r="M91" i="1" s="1"/>
  <c r="L90" i="1"/>
  <c r="L89" i="1"/>
  <c r="M89" i="1" s="1"/>
  <c r="L88" i="1"/>
  <c r="L87" i="1"/>
  <c r="M87" i="1" s="1"/>
  <c r="L86" i="1"/>
  <c r="L85" i="1"/>
  <c r="M85" i="1" s="1"/>
  <c r="L84" i="1"/>
  <c r="L83" i="1"/>
  <c r="M83" i="1" s="1"/>
  <c r="L82" i="1"/>
  <c r="L81" i="1"/>
  <c r="M81" i="1" s="1"/>
  <c r="L80" i="1"/>
  <c r="L79" i="1"/>
  <c r="M79" i="1" s="1"/>
  <c r="L78" i="1"/>
  <c r="L77" i="1"/>
  <c r="M77" i="1" s="1"/>
  <c r="L76" i="1"/>
  <c r="L75" i="1"/>
  <c r="M75" i="1" s="1"/>
  <c r="L74" i="1"/>
  <c r="S26" i="1" s="1"/>
  <c r="L73" i="1"/>
  <c r="M73" i="1" s="1"/>
  <c r="T25" i="1" s="1"/>
  <c r="L72" i="1"/>
  <c r="L71" i="1"/>
  <c r="M71" i="1" s="1"/>
  <c r="L70" i="1"/>
  <c r="L69" i="1"/>
  <c r="M69" i="1" s="1"/>
  <c r="L68" i="1"/>
  <c r="L67" i="1"/>
  <c r="M67" i="1" s="1"/>
  <c r="L66" i="1"/>
  <c r="L65" i="1"/>
  <c r="M65" i="1" s="1"/>
  <c r="L64" i="1"/>
  <c r="L63" i="1"/>
  <c r="M63" i="1" s="1"/>
  <c r="L62" i="1"/>
  <c r="L61" i="1"/>
  <c r="M61" i="1" s="1"/>
  <c r="L60" i="1"/>
  <c r="L59" i="1"/>
  <c r="M59" i="1" s="1"/>
  <c r="L58" i="1"/>
  <c r="L57" i="1"/>
  <c r="M57" i="1" s="1"/>
  <c r="L56" i="1"/>
  <c r="L55" i="1"/>
  <c r="M55" i="1" s="1"/>
  <c r="L54" i="1"/>
  <c r="L53" i="1"/>
  <c r="M53" i="1" s="1"/>
  <c r="L52" i="1"/>
  <c r="S23" i="1" s="1"/>
  <c r="L51" i="1"/>
  <c r="M51" i="1" s="1"/>
  <c r="L50" i="1"/>
  <c r="L49" i="1"/>
  <c r="M49" i="1" s="1"/>
  <c r="L48" i="1"/>
  <c r="L47" i="1"/>
  <c r="M47" i="1" s="1"/>
  <c r="L46" i="1"/>
  <c r="L45" i="1"/>
  <c r="M45" i="1" s="1"/>
  <c r="L44" i="1"/>
  <c r="L43" i="1"/>
  <c r="M43" i="1" s="1"/>
  <c r="L42" i="1"/>
  <c r="L41" i="1"/>
  <c r="M41" i="1" s="1"/>
  <c r="L40" i="1"/>
  <c r="L39" i="1"/>
  <c r="M39" i="1" s="1"/>
  <c r="U38" i="1"/>
  <c r="L38" i="1"/>
  <c r="M38" i="1" s="1"/>
  <c r="T13" i="1" s="1"/>
  <c r="U37" i="1"/>
  <c r="L37" i="1"/>
  <c r="M37" i="1" s="1"/>
  <c r="U36" i="1"/>
  <c r="L36" i="1"/>
  <c r="M36" i="1" s="1"/>
  <c r="U35" i="1"/>
  <c r="L35" i="1"/>
  <c r="M35" i="1" s="1"/>
  <c r="L34" i="1"/>
  <c r="M34" i="1" s="1"/>
  <c r="L33" i="1"/>
  <c r="M33" i="1" s="1"/>
  <c r="L32" i="1"/>
  <c r="M32" i="1" s="1"/>
  <c r="L31" i="1"/>
  <c r="M31" i="1" s="1"/>
  <c r="T17" i="1" s="1"/>
  <c r="L30" i="1"/>
  <c r="M30" i="1" s="1"/>
  <c r="T15" i="1" s="1"/>
  <c r="L29" i="1"/>
  <c r="M29" i="1" s="1"/>
  <c r="L28" i="1"/>
  <c r="M28" i="1" s="1"/>
  <c r="U27" i="1"/>
  <c r="L27" i="1"/>
  <c r="M27" i="1" s="1"/>
  <c r="U26" i="1"/>
  <c r="L26" i="1"/>
  <c r="M26" i="1" s="1"/>
  <c r="U25" i="1"/>
  <c r="L25" i="1"/>
  <c r="M25" i="1" s="1"/>
  <c r="U24" i="1"/>
  <c r="S24" i="1"/>
  <c r="L24" i="1"/>
  <c r="M24" i="1" s="1"/>
  <c r="U23" i="1"/>
  <c r="L23" i="1"/>
  <c r="M23" i="1" s="1"/>
  <c r="U22" i="1"/>
  <c r="L22" i="1"/>
  <c r="M22" i="1" s="1"/>
  <c r="U21" i="1"/>
  <c r="L21" i="1"/>
  <c r="M21" i="1" s="1"/>
  <c r="U20" i="1"/>
  <c r="L20" i="1"/>
  <c r="M20" i="1" s="1"/>
  <c r="U19" i="1"/>
  <c r="L19" i="1"/>
  <c r="M19" i="1" s="1"/>
  <c r="U18" i="1"/>
  <c r="L18" i="1"/>
  <c r="M18" i="1" s="1"/>
  <c r="U17" i="1"/>
  <c r="L17" i="1"/>
  <c r="M17" i="1" s="1"/>
  <c r="T12" i="1" s="1"/>
  <c r="U16" i="1"/>
  <c r="T16" i="1"/>
  <c r="S16" i="1"/>
  <c r="L16" i="1"/>
  <c r="M16" i="1" s="1"/>
  <c r="T11" i="1" s="1"/>
  <c r="U15" i="1"/>
  <c r="L15" i="1"/>
  <c r="M15" i="1" s="1"/>
  <c r="U14" i="1"/>
  <c r="T14" i="1"/>
  <c r="L14" i="1"/>
  <c r="M14" i="1" s="1"/>
  <c r="U13" i="1"/>
  <c r="L13" i="1"/>
  <c r="M13" i="1" s="1"/>
  <c r="U12" i="1"/>
  <c r="L12" i="1"/>
  <c r="M12" i="1" s="1"/>
  <c r="U11" i="1"/>
  <c r="L11" i="1"/>
  <c r="M11" i="1" s="1"/>
  <c r="U10" i="1"/>
  <c r="L10" i="1"/>
  <c r="M10" i="1" s="1"/>
  <c r="U9" i="1"/>
  <c r="L9" i="1"/>
  <c r="U8" i="1"/>
  <c r="L8" i="1"/>
  <c r="M8" i="1" s="1"/>
  <c r="U7" i="1"/>
  <c r="L7" i="1"/>
  <c r="M7" i="1" s="1"/>
  <c r="U6" i="1"/>
  <c r="L6" i="1"/>
  <c r="M6" i="1" s="1"/>
  <c r="U5" i="1"/>
  <c r="L5" i="1"/>
  <c r="M5" i="1" s="1"/>
  <c r="L4" i="1"/>
  <c r="N4" i="1" s="1"/>
  <c r="Q3" i="1"/>
  <c r="L3" i="1"/>
  <c r="M3" i="1" s="1"/>
  <c r="S27" i="1" l="1"/>
  <c r="S25" i="1"/>
  <c r="S21" i="1"/>
  <c r="S22" i="1"/>
  <c r="S14" i="1"/>
  <c r="S19" i="1"/>
  <c r="T10" i="1"/>
  <c r="S20" i="1"/>
  <c r="S11" i="1"/>
  <c r="S10" i="1"/>
  <c r="S18" i="1"/>
  <c r="S17" i="1"/>
  <c r="S15" i="1"/>
  <c r="S13" i="1"/>
  <c r="S12" i="1"/>
  <c r="S36" i="1"/>
  <c r="T6" i="1"/>
  <c r="S35" i="1"/>
  <c r="S9" i="1"/>
  <c r="S8" i="1"/>
  <c r="M9" i="1"/>
  <c r="S37" i="1"/>
  <c r="S7" i="1"/>
  <c r="S6" i="1"/>
  <c r="S38" i="1"/>
  <c r="M4" i="1"/>
  <c r="S5" i="1"/>
  <c r="N3" i="1"/>
  <c r="M135" i="1"/>
  <c r="M235" i="1"/>
  <c r="M218" i="1"/>
  <c r="M261" i="1"/>
  <c r="M270" i="1"/>
  <c r="M296" i="1"/>
  <c r="L1" i="1"/>
  <c r="M152" i="1"/>
  <c r="M331" i="1"/>
  <c r="W2" i="1"/>
  <c r="M122" i="1"/>
  <c r="M161" i="1"/>
  <c r="M187" i="1"/>
  <c r="M170" i="1"/>
  <c r="M213" i="1"/>
  <c r="M222" i="1"/>
  <c r="M248" i="1"/>
  <c r="M357" i="1"/>
  <c r="M283" i="1"/>
  <c r="M148" i="1"/>
  <c r="M309" i="1"/>
  <c r="M318" i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M126" i="1"/>
  <c r="M344" i="1"/>
  <c r="M174" i="1"/>
  <c r="M200" i="1"/>
  <c r="M183" i="1"/>
  <c r="M196" i="1"/>
  <c r="M231" i="1"/>
  <c r="M244" i="1"/>
  <c r="M266" i="1"/>
  <c r="M279" i="1"/>
  <c r="M292" i="1"/>
  <c r="M314" i="1"/>
  <c r="M327" i="1"/>
  <c r="M340" i="1"/>
  <c r="M362" i="1"/>
  <c r="M42" i="1"/>
  <c r="M46" i="1"/>
  <c r="M50" i="1"/>
  <c r="M54" i="1"/>
  <c r="M58" i="1"/>
  <c r="T9" i="1" s="1"/>
  <c r="M62" i="1"/>
  <c r="M66" i="1"/>
  <c r="T24" i="1" s="1"/>
  <c r="M70" i="1"/>
  <c r="M74" i="1"/>
  <c r="T26" i="1" s="1"/>
  <c r="M78" i="1"/>
  <c r="M82" i="1"/>
  <c r="M86" i="1"/>
  <c r="M90" i="1"/>
  <c r="M94" i="1"/>
  <c r="M98" i="1"/>
  <c r="M102" i="1"/>
  <c r="M106" i="1"/>
  <c r="M110" i="1"/>
  <c r="M114" i="1"/>
  <c r="M118" i="1"/>
  <c r="M131" i="1"/>
  <c r="M144" i="1"/>
  <c r="M166" i="1"/>
  <c r="M179" i="1"/>
  <c r="M192" i="1"/>
  <c r="M214" i="1"/>
  <c r="M227" i="1"/>
  <c r="M240" i="1"/>
  <c r="M262" i="1"/>
  <c r="M275" i="1"/>
  <c r="M288" i="1"/>
  <c r="M310" i="1"/>
  <c r="M323" i="1"/>
  <c r="M336" i="1"/>
  <c r="M358" i="1"/>
  <c r="M123" i="1"/>
  <c r="M136" i="1"/>
  <c r="M158" i="1"/>
  <c r="M171" i="1"/>
  <c r="M184" i="1"/>
  <c r="M206" i="1"/>
  <c r="M219" i="1"/>
  <c r="M232" i="1"/>
  <c r="M254" i="1"/>
  <c r="M267" i="1"/>
  <c r="M280" i="1"/>
  <c r="M302" i="1"/>
  <c r="M315" i="1"/>
  <c r="M328" i="1"/>
  <c r="M350" i="1"/>
  <c r="M363" i="1"/>
  <c r="M128" i="1"/>
  <c r="M150" i="1"/>
  <c r="M163" i="1"/>
  <c r="M176" i="1"/>
  <c r="M198" i="1"/>
  <c r="M211" i="1"/>
  <c r="M224" i="1"/>
  <c r="M246" i="1"/>
  <c r="M259" i="1"/>
  <c r="M272" i="1"/>
  <c r="M294" i="1"/>
  <c r="M307" i="1"/>
  <c r="M320" i="1"/>
  <c r="M342" i="1"/>
  <c r="M355" i="1"/>
  <c r="M40" i="1"/>
  <c r="T18" i="1" s="1"/>
  <c r="M44" i="1"/>
  <c r="T27" i="1" s="1"/>
  <c r="M48" i="1"/>
  <c r="M52" i="1"/>
  <c r="T23" i="1" s="1"/>
  <c r="M56" i="1"/>
  <c r="T7" i="1" s="1"/>
  <c r="M60" i="1"/>
  <c r="M64" i="1"/>
  <c r="M68" i="1"/>
  <c r="M72" i="1"/>
  <c r="M76" i="1"/>
  <c r="M80" i="1"/>
  <c r="M84" i="1"/>
  <c r="M88" i="1"/>
  <c r="M92" i="1"/>
  <c r="M96" i="1"/>
  <c r="M100" i="1"/>
  <c r="M104" i="1"/>
  <c r="M108" i="1"/>
  <c r="M112" i="1"/>
  <c r="M116" i="1"/>
  <c r="M120" i="1"/>
  <c r="M142" i="1"/>
  <c r="M155" i="1"/>
  <c r="M168" i="1"/>
  <c r="M190" i="1"/>
  <c r="M203" i="1"/>
  <c r="M216" i="1"/>
  <c r="M238" i="1"/>
  <c r="M251" i="1"/>
  <c r="M264" i="1"/>
  <c r="M286" i="1"/>
  <c r="M299" i="1"/>
  <c r="M312" i="1"/>
  <c r="M334" i="1"/>
  <c r="M347" i="1"/>
  <c r="M360" i="1"/>
  <c r="T8" i="1" l="1"/>
  <c r="T37" i="1"/>
  <c r="T19" i="1"/>
  <c r="T20" i="1"/>
  <c r="T36" i="1"/>
  <c r="T21" i="1"/>
  <c r="T22" i="1"/>
  <c r="T38" i="1"/>
  <c r="T35" i="1"/>
  <c r="T5" i="1"/>
  <c r="V2" i="1"/>
  <c r="Y2" i="1"/>
  <c r="X2" i="1"/>
  <c r="Z2" i="1" l="1"/>
</calcChain>
</file>

<file path=xl/sharedStrings.xml><?xml version="1.0" encoding="utf-8"?>
<sst xmlns="http://schemas.openxmlformats.org/spreadsheetml/2006/main" count="139" uniqueCount="113">
  <si>
    <t>若判断错误，只需等待。除非可反向操作</t>
  </si>
  <si>
    <t>接受亏损，然后继续</t>
  </si>
  <si>
    <t>总共胜率</t>
  </si>
  <si>
    <t>总盈亏</t>
  </si>
  <si>
    <t>平均盈利金额</t>
  </si>
  <si>
    <t>平均亏损金额</t>
  </si>
  <si>
    <t>盈亏比</t>
  </si>
  <si>
    <t>日期</t>
  </si>
  <si>
    <t>入场理由</t>
  </si>
  <si>
    <t>离场理由/方式</t>
  </si>
  <si>
    <t>方向</t>
  </si>
  <si>
    <t>入场价格</t>
  </si>
  <si>
    <t>离场价格1</t>
  </si>
  <si>
    <t>离场价格2</t>
  </si>
  <si>
    <t>补充说明</t>
  </si>
  <si>
    <t>错误原因</t>
  </si>
  <si>
    <t>隐</t>
  </si>
  <si>
    <t>限</t>
  </si>
  <si>
    <t>离</t>
  </si>
  <si>
    <t>止</t>
  </si>
  <si>
    <t>记</t>
  </si>
  <si>
    <t>盈亏金额</t>
  </si>
  <si>
    <t>胜率</t>
  </si>
  <si>
    <t>使用次数</t>
  </si>
  <si>
    <t>做多</t>
  </si>
  <si>
    <t>横盘</t>
  </si>
  <si>
    <t>做空</t>
  </si>
  <si>
    <t>上涨</t>
  </si>
  <si>
    <t>回调后的第二次进场信号
, 首次突破通道, 突破前高后产生了更高的高点, 第二次回踩缺口k线, 突破测试</t>
  </si>
  <si>
    <t>交易区间</t>
  </si>
  <si>
    <t>W结构, W 结构突破后的首次回调</t>
  </si>
  <si>
    <t>突破</t>
  </si>
  <si>
    <t>假突破</t>
  </si>
  <si>
    <t>下跌</t>
  </si>
  <si>
    <t>收敛三角旗形</t>
  </si>
  <si>
    <t>当前趋势强势延续</t>
  </si>
  <si>
    <t>回调</t>
  </si>
  <si>
    <t>突破后反转</t>
  </si>
  <si>
    <t>反转k</t>
  </si>
  <si>
    <t>深度回调</t>
  </si>
  <si>
    <t>趋势转换</t>
  </si>
  <si>
    <t>双底/双顶</t>
  </si>
  <si>
    <t>窄交易区间</t>
  </si>
  <si>
    <t>反转失败+第二次入场信号失效</t>
  </si>
  <si>
    <t>首次回调</t>
  </si>
  <si>
    <t>首次反转</t>
  </si>
  <si>
    <t>盈利金额</t>
  </si>
  <si>
    <t>突破失败</t>
  </si>
  <si>
    <t>开盘区间</t>
  </si>
  <si>
    <t>趋势延续（Continuation）</t>
  </si>
  <si>
    <t>多周期共振</t>
  </si>
  <si>
    <t>反转（Reversal）</t>
  </si>
  <si>
    <t>突破（BO）</t>
  </si>
  <si>
    <t>假突破（fBO）</t>
  </si>
  <si>
    <t>计数</t>
  </si>
  <si>
    <t>离场理由</t>
  </si>
  <si>
    <t>逆势交易（Fading a strong trend）</t>
  </si>
  <si>
    <t>盈利单但是提前离场(Letting a winning trade turn to losing)</t>
  </si>
  <si>
    <t>突破/反转判断错误（BW/OL）</t>
  </si>
  <si>
    <t>错误的信号k线（Wrong Signal bar）</t>
  </si>
  <si>
    <t>限价单入场（limit entry）</t>
  </si>
  <si>
    <t>k线未收线就入场（Entry mid-bar）</t>
  </si>
  <si>
    <t>在阻力位买入，在支撑位卖出（buy into resist, sell into support）</t>
  </si>
  <si>
    <t>浮亏加仓（scaling into a losing position）.</t>
  </si>
  <si>
    <t>市场背景理解错误（bad structure reading）</t>
  </si>
  <si>
    <t>是否执行规则？</t>
  </si>
  <si>
    <t>是否情绪稳定？</t>
  </si>
  <si>
    <t>是否做记录？</t>
  </si>
  <si>
    <t>是否提前准备？</t>
  </si>
  <si>
    <t>没有 FOMO？</t>
  </si>
  <si>
    <t>备注</t>
  </si>
  <si>
    <t>✅</t>
  </si>
  <si>
    <t>❌</t>
  </si>
  <si>
    <r>
      <rPr>
        <sz val="12"/>
        <color rgb="FF000000"/>
        <rFont val="Times New Roman"/>
      </rPr>
      <t xml:space="preserve">盈亏情况
</t>
    </r>
    <r>
      <rPr>
        <b/>
        <sz val="8"/>
        <color rgb="FF000000"/>
        <rFont val="Times New Roman"/>
      </rPr>
      <t>（会自动计算）</t>
    </r>
  </si>
  <si>
    <r>
      <rPr>
        <b/>
        <sz val="12"/>
        <color rgb="FF000000"/>
        <rFont val="Times New Roman"/>
      </rPr>
      <t>盈亏状态</t>
    </r>
    <r>
      <rPr>
        <b/>
        <sz val="8"/>
        <color rgb="FF000000"/>
        <rFont val="Times New Roman"/>
      </rPr>
      <t xml:space="preserve">
（会自动计算）</t>
    </r>
  </si>
  <si>
    <r>
      <rPr>
        <b/>
        <sz val="12"/>
        <color rgb="FF000000"/>
        <rFont val="Times New Roman"/>
      </rPr>
      <t>累计盈亏</t>
    </r>
    <r>
      <rPr>
        <b/>
        <sz val="8"/>
        <color rgb="FF000000"/>
        <rFont val="Times New Roman"/>
      </rPr>
      <t xml:space="preserve">
（会自动计算）</t>
    </r>
  </si>
  <si>
    <r>
      <rPr>
        <sz val="11"/>
        <color rgb="FFFFFFFF"/>
        <rFont val="Calibri"/>
      </rPr>
      <t xml:space="preserve">入场原因
</t>
    </r>
    <r>
      <rPr>
        <b/>
        <sz val="8"/>
        <color rgb="FFFFFFFF"/>
        <rFont val="Calibri"/>
      </rPr>
      <t>（可以自己定义）</t>
    </r>
  </si>
  <si>
    <t>类型</t>
    <phoneticPr fontId="40" type="noConversion"/>
  </si>
  <si>
    <t>交易区间内三推反转</t>
    <phoneticPr fontId="40" type="noConversion"/>
  </si>
  <si>
    <t>回测三推起点</t>
    <phoneticPr fontId="40" type="noConversion"/>
  </si>
  <si>
    <t>交易区间内2ndleg陷阱</t>
    <phoneticPr fontId="40" type="noConversion"/>
  </si>
  <si>
    <t>止盈太远</t>
    <phoneticPr fontId="40" type="noConversion"/>
  </si>
  <si>
    <t>EMA20</t>
    <phoneticPr fontId="40" type="noConversion"/>
  </si>
  <si>
    <t>推保本</t>
    <phoneticPr fontId="40" type="noConversion"/>
  </si>
  <si>
    <t>交易区间确认突破</t>
    <phoneticPr fontId="40" type="noConversion"/>
  </si>
  <si>
    <t>AIL，AIS首次回调</t>
    <phoneticPr fontId="40" type="noConversion"/>
  </si>
  <si>
    <t>牛旗或熊旗</t>
    <phoneticPr fontId="40" type="noConversion"/>
  </si>
  <si>
    <t>移动止盈</t>
    <phoneticPr fontId="40" type="noConversion"/>
  </si>
  <si>
    <t>备注</t>
    <phoneticPr fontId="40" type="noConversion"/>
  </si>
  <si>
    <r>
      <rPr>
        <sz val="11"/>
        <rFont val="微软雅黑"/>
        <family val="2"/>
        <charset val="134"/>
      </rPr>
      <t>止损触发（</t>
    </r>
    <r>
      <rPr>
        <sz val="11"/>
        <rFont val="Calibri"/>
        <family val="2"/>
      </rPr>
      <t>Stop out</t>
    </r>
    <r>
      <rPr>
        <sz val="11"/>
        <rFont val="微软雅黑"/>
        <family val="2"/>
        <charset val="134"/>
      </rPr>
      <t>）</t>
    </r>
    <phoneticPr fontId="40" type="noConversion"/>
  </si>
  <si>
    <t>觉得有逆势压提前止盈</t>
    <phoneticPr fontId="40" type="noConversion"/>
  </si>
  <si>
    <t>嵌套三推楔形</t>
    <phoneticPr fontId="40" type="noConversion"/>
  </si>
  <si>
    <t>三推楔形、信号k</t>
    <phoneticPr fontId="40" type="noConversion"/>
  </si>
  <si>
    <t>三推楔形、双底</t>
    <phoneticPr fontId="40" type="noConversion"/>
  </si>
  <si>
    <t>三重底</t>
    <phoneticPr fontId="40" type="noConversion"/>
  </si>
  <si>
    <r>
      <rPr>
        <sz val="11"/>
        <rFont val="Calibri"/>
        <family val="2"/>
      </rPr>
      <t>1</t>
    </r>
    <r>
      <rPr>
        <sz val="11"/>
        <rFont val="宋体"/>
        <family val="2"/>
        <charset val="134"/>
      </rPr>
      <t>倍</t>
    </r>
    <r>
      <rPr>
        <sz val="11"/>
        <rFont val="Calibri"/>
        <family val="2"/>
      </rPr>
      <t>MM</t>
    </r>
    <phoneticPr fontId="40" type="noConversion"/>
  </si>
  <si>
    <t>三推楔形、双顶</t>
    <phoneticPr fontId="40" type="noConversion"/>
  </si>
  <si>
    <r>
      <rPr>
        <b/>
        <sz val="12"/>
        <color rgb="FF000000"/>
        <rFont val="Times New Roman"/>
        <family val="1"/>
      </rPr>
      <t>仓位大小</t>
    </r>
    <r>
      <rPr>
        <b/>
        <sz val="8"/>
        <color rgb="FF000000"/>
        <rFont val="Times New Roman"/>
        <family val="1"/>
      </rPr>
      <t xml:space="preserve">
（填数字）</t>
    </r>
  </si>
  <si>
    <t>交易区间上下沿、信号K</t>
    <phoneticPr fontId="40" type="noConversion"/>
  </si>
  <si>
    <r>
      <rPr>
        <sz val="11"/>
        <rFont val="Calibri"/>
        <family val="2"/>
      </rPr>
      <t>2倍MM</t>
    </r>
  </si>
  <si>
    <r>
      <rPr>
        <sz val="11"/>
        <rFont val="等线"/>
        <family val="2"/>
        <charset val="134"/>
      </rPr>
      <t>趋势线</t>
    </r>
    <phoneticPr fontId="40" type="noConversion"/>
  </si>
  <si>
    <t>交易区间内2ndleg、趋势线</t>
    <phoneticPr fontId="40" type="noConversion"/>
  </si>
  <si>
    <t>EMA20、H/L1</t>
    <phoneticPr fontId="40" type="noConversion"/>
  </si>
  <si>
    <t>交易区间顶低限价单</t>
    <phoneticPr fontId="40" type="noConversion"/>
  </si>
  <si>
    <t>交易区间内2ndleg陷阱、信号K</t>
    <phoneticPr fontId="40" type="noConversion"/>
  </si>
  <si>
    <t>嵌套楔形、高潮、信号K</t>
    <phoneticPr fontId="40" type="noConversion"/>
  </si>
  <si>
    <t>强趋势50%回调</t>
    <phoneticPr fontId="40" type="noConversion"/>
  </si>
  <si>
    <t>三推楔形、EMA20、信号K</t>
    <phoneticPr fontId="40" type="noConversion"/>
  </si>
  <si>
    <t>抛物线楔形、信号K</t>
    <phoneticPr fontId="40" type="noConversion"/>
  </si>
  <si>
    <t>趋势线、信号K</t>
    <phoneticPr fontId="40" type="noConversion"/>
  </si>
  <si>
    <t>H1、L1</t>
    <phoneticPr fontId="40" type="noConversion"/>
  </si>
  <si>
    <t>H2、L2</t>
    <phoneticPr fontId="40" type="noConversion"/>
  </si>
  <si>
    <t>不知道为什么开仓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</si>
</sst>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mmm\-yy;@"/>
    <numFmt numFmtId="177" formatCode="0.00_ "/>
    <numFmt numFmtId="178" formatCode=";;;"/>
  </numFmts>
  <fonts count="53" x14ac:knownFonts="1">
    <font>
      <sz val="11"/>
      <color theme="1"/>
      <name val="等线"/>
      <family val="2"/>
      <charset val="134"/>
      <scheme val="minor"/>
    </font>
    <font>
      <b/>
      <sz val="16"/>
      <name val="Times New Roman"/>
      <family val="1"/>
    </font>
    <font>
      <sz val="11"/>
      <color theme="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4"/>
      <color theme="0"/>
      <name val="Times New Roman"/>
      <family val="1"/>
    </font>
    <font>
      <b/>
      <sz val="16"/>
      <color rgb="FFC00000"/>
      <name val="Times New Roman"/>
      <family val="1"/>
    </font>
    <font>
      <b/>
      <sz val="20"/>
      <color rgb="FFFF5050"/>
      <name val="Times New Roman"/>
      <family val="1"/>
    </font>
    <font>
      <b/>
      <sz val="16"/>
      <color theme="0"/>
      <name val="Times New Roman"/>
      <family val="1"/>
    </font>
    <font>
      <b/>
      <sz val="20"/>
      <color rgb="FF33CC99"/>
      <name val="Times New Roman"/>
      <family val="1"/>
    </font>
    <font>
      <b/>
      <sz val="18"/>
      <color theme="0"/>
      <name val="等线"/>
      <family val="3"/>
      <charset val="134"/>
      <scheme val="minor"/>
    </font>
    <font>
      <sz val="11"/>
      <color rgb="FFFFFFFF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6"/>
      <color rgb="FF00B0F0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rgb="FF000000"/>
      <name val="Calibri"/>
      <family val="2"/>
      <charset val="134"/>
    </font>
    <font>
      <b/>
      <sz val="11"/>
      <color rgb="FFFFFFFF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rgb="FFFFFF00"/>
      <name val="Times New Roman"/>
      <family val="1"/>
    </font>
    <font>
      <sz val="11"/>
      <color rgb="FFFFFF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Calibri"/>
    </font>
    <font>
      <sz val="11"/>
      <name val="Calibri"/>
    </font>
    <font>
      <sz val="11"/>
      <name val="Calibri"/>
    </font>
    <font>
      <b/>
      <sz val="11"/>
      <color theme="0"/>
      <name val="Calibri"/>
    </font>
    <font>
      <sz val="11"/>
      <color theme="0"/>
      <name val="Calibri"/>
    </font>
    <font>
      <b/>
      <sz val="11"/>
      <color theme="1"/>
      <name val="Calibri"/>
    </font>
    <font>
      <sz val="11"/>
      <color rgb="FF00B050"/>
      <name val="Segoe UI Emoji"/>
      <family val="2"/>
    </font>
    <font>
      <sz val="11"/>
      <color rgb="FF00B050"/>
      <name val="等线"/>
      <family val="2"/>
      <charset val="134"/>
      <scheme val="minor"/>
    </font>
    <font>
      <sz val="11"/>
      <color rgb="FFFF0000"/>
      <name val="Segoe UI Emoji"/>
      <family val="2"/>
    </font>
    <font>
      <sz val="11"/>
      <color theme="1"/>
      <name val="Segoe UI Emoji"/>
      <family val="2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2"/>
      <color rgb="FF000000"/>
      <name val="Times New Roman"/>
    </font>
    <font>
      <b/>
      <sz val="8"/>
      <color rgb="FF000000"/>
      <name val="Times New Roman"/>
    </font>
    <font>
      <sz val="12"/>
      <color rgb="FF000000"/>
      <name val="Times New Roman"/>
    </font>
    <font>
      <sz val="11"/>
      <color rgb="FFFFFFFF"/>
      <name val="Calibri"/>
    </font>
    <font>
      <b/>
      <sz val="8"/>
      <color rgb="FFFFFFFF"/>
      <name val="Calibri"/>
    </font>
    <font>
      <sz val="9"/>
      <name val="等线"/>
      <family val="2"/>
      <charset val="134"/>
      <scheme val="minor"/>
    </font>
    <font>
      <b/>
      <sz val="12"/>
      <name val="宋体"/>
      <family val="3"/>
      <charset val="134"/>
    </font>
    <font>
      <b/>
      <sz val="11"/>
      <color theme="0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  <font>
      <sz val="11"/>
      <name val="Calibri"/>
      <family val="2"/>
      <charset val="134"/>
    </font>
    <font>
      <b/>
      <sz val="12"/>
      <color theme="1"/>
      <name val="宋体"/>
      <family val="3"/>
      <charset val="134"/>
    </font>
    <font>
      <sz val="11"/>
      <name val="宋体"/>
      <family val="2"/>
      <charset val="134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theme="10"/>
      <name val="等线"/>
      <family val="2"/>
      <charset val="134"/>
      <scheme val="minor"/>
    </font>
    <font>
      <sz val="11"/>
      <name val="等线"/>
      <family val="2"/>
      <charset val="134"/>
    </font>
    <font>
      <sz val="11"/>
      <color theme="1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none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55748161259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2">
    <xf numFmtId="0" fontId="0" fillId="0" borderId="13">
      <alignment vertical="center"/>
    </xf>
    <xf numFmtId="0" fontId="34" fillId="8" borderId="13" applyNumberFormat="0" applyFill="0" applyBorder="0" applyAlignment="0" applyProtection="0">
      <alignment vertical="center"/>
    </xf>
  </cellStyleXfs>
  <cellXfs count="105">
    <xf numFmtId="0" fontId="0" fillId="0" borderId="0" xfId="0" applyBorder="1">
      <alignment vertical="center"/>
    </xf>
    <xf numFmtId="0" fontId="1" fillId="2" borderId="13" xfId="0" applyFont="1" applyFill="1" applyAlignment="1">
      <alignment horizontal="left" vertical="center"/>
    </xf>
    <xf numFmtId="0" fontId="2" fillId="2" borderId="13" xfId="0" applyFont="1" applyFill="1">
      <alignment vertical="center"/>
    </xf>
    <xf numFmtId="0" fontId="3" fillId="2" borderId="13" xfId="0" applyFont="1" applyFill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2" xfId="0" applyFont="1" applyFill="1" applyBorder="1">
      <alignment vertical="center"/>
    </xf>
    <xf numFmtId="0" fontId="7" fillId="2" borderId="13" xfId="0" applyFont="1" applyFill="1" applyAlignment="1">
      <alignment horizontal="left" vertical="center"/>
    </xf>
    <xf numFmtId="0" fontId="7" fillId="3" borderId="13" xfId="0" applyFont="1" applyFill="1" applyAlignment="1">
      <alignment horizontal="left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177" fontId="12" fillId="5" borderId="9" xfId="0" applyNumberFormat="1" applyFont="1" applyFill="1" applyBorder="1" applyAlignment="1">
      <alignment horizontal="center" vertical="center"/>
    </xf>
    <xf numFmtId="0" fontId="14" fillId="6" borderId="13" xfId="0" applyFont="1" applyFill="1" applyAlignment="1">
      <alignment horizontal="center" vertical="center"/>
    </xf>
    <xf numFmtId="10" fontId="11" fillId="7" borderId="5" xfId="0" applyNumberFormat="1" applyFont="1" applyFill="1" applyBorder="1" applyAlignment="1">
      <alignment horizontal="center" vertical="center"/>
    </xf>
    <xf numFmtId="178" fontId="11" fillId="7" borderId="6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4" fontId="33" fillId="0" borderId="7" xfId="0" applyNumberFormat="1" applyFont="1" applyBorder="1" applyAlignment="1">
      <alignment horizontal="center" vertical="center"/>
    </xf>
    <xf numFmtId="0" fontId="33" fillId="8" borderId="10" xfId="0" applyFont="1" applyFill="1" applyBorder="1" applyAlignment="1">
      <alignment horizontal="center" vertical="center"/>
    </xf>
    <xf numFmtId="0" fontId="15" fillId="6" borderId="7" xfId="1" applyFont="1" applyFill="1" applyBorder="1" applyAlignment="1">
      <alignment horizontal="center" vertical="center"/>
    </xf>
    <xf numFmtId="14" fontId="33" fillId="0" borderId="13" xfId="0" applyNumberFormat="1" applyFont="1">
      <alignment vertical="center"/>
    </xf>
    <xf numFmtId="0" fontId="33" fillId="8" borderId="10" xfId="0" applyFont="1" applyFill="1" applyBorder="1">
      <alignment vertical="center"/>
    </xf>
    <xf numFmtId="0" fontId="33" fillId="0" borderId="13" xfId="0" applyFont="1">
      <alignment vertical="center"/>
    </xf>
    <xf numFmtId="0" fontId="17" fillId="9" borderId="7" xfId="0" applyFont="1" applyFill="1" applyBorder="1" applyAlignment="1">
      <alignment vertical="center" wrapText="1"/>
    </xf>
    <xf numFmtId="0" fontId="18" fillId="9" borderId="7" xfId="0" applyFont="1" applyFill="1" applyBorder="1">
      <alignment vertical="center"/>
    </xf>
    <xf numFmtId="0" fontId="11" fillId="9" borderId="7" xfId="0" applyFont="1" applyFill="1" applyBorder="1">
      <alignment vertical="center"/>
    </xf>
    <xf numFmtId="0" fontId="19" fillId="10" borderId="7" xfId="0" applyFont="1" applyFill="1" applyBorder="1">
      <alignment vertical="center"/>
    </xf>
    <xf numFmtId="0" fontId="33" fillId="10" borderId="7" xfId="0" applyFont="1" applyFill="1" applyBorder="1">
      <alignment vertical="center"/>
    </xf>
    <xf numFmtId="10" fontId="33" fillId="10" borderId="7" xfId="0" applyNumberFormat="1" applyFont="1" applyFill="1" applyBorder="1">
      <alignment vertical="center"/>
    </xf>
    <xf numFmtId="0" fontId="33" fillId="6" borderId="7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vertical="center" wrapText="1"/>
    </xf>
    <xf numFmtId="0" fontId="19" fillId="10" borderId="9" xfId="0" applyFont="1" applyFill="1" applyBorder="1">
      <alignment vertical="center"/>
    </xf>
    <xf numFmtId="10" fontId="33" fillId="6" borderId="13" xfId="0" applyNumberFormat="1" applyFont="1" applyFill="1">
      <alignment vertical="center"/>
    </xf>
    <xf numFmtId="0" fontId="33" fillId="6" borderId="13" xfId="0" applyFont="1" applyFill="1">
      <alignment vertical="center"/>
    </xf>
    <xf numFmtId="10" fontId="20" fillId="6" borderId="13" xfId="0" applyNumberFormat="1" applyFont="1" applyFill="1">
      <alignment vertical="center"/>
    </xf>
    <xf numFmtId="0" fontId="20" fillId="6" borderId="13" xfId="0" applyFont="1" applyFill="1">
      <alignment vertical="center"/>
    </xf>
    <xf numFmtId="0" fontId="21" fillId="6" borderId="13" xfId="0" applyFont="1" applyFill="1">
      <alignment vertical="center"/>
    </xf>
    <xf numFmtId="0" fontId="33" fillId="10" borderId="9" xfId="0" applyFont="1" applyFill="1" applyBorder="1">
      <alignment vertical="center"/>
    </xf>
    <xf numFmtId="0" fontId="33" fillId="12" borderId="7" xfId="0" applyFont="1" applyFill="1" applyBorder="1">
      <alignment vertical="center"/>
    </xf>
    <xf numFmtId="0" fontId="22" fillId="12" borderId="7" xfId="0" applyFont="1" applyFill="1" applyBorder="1" applyAlignment="1">
      <alignment horizontal="center" vertical="center"/>
    </xf>
    <xf numFmtId="10" fontId="33" fillId="10" borderId="9" xfId="0" applyNumberFormat="1" applyFont="1" applyFill="1" applyBorder="1">
      <alignment vertical="center"/>
    </xf>
    <xf numFmtId="0" fontId="33" fillId="12" borderId="7" xfId="0" applyFont="1" applyFill="1" applyBorder="1" applyAlignment="1">
      <alignment horizontal="center" vertical="center" wrapText="1"/>
    </xf>
    <xf numFmtId="0" fontId="33" fillId="12" borderId="7" xfId="0" applyFont="1" applyFill="1" applyBorder="1" applyAlignment="1">
      <alignment horizontal="center" vertical="center"/>
    </xf>
    <xf numFmtId="0" fontId="33" fillId="12" borderId="13" xfId="0" applyFont="1" applyFill="1" applyAlignment="1">
      <alignment horizontal="center" vertical="center"/>
    </xf>
    <xf numFmtId="0" fontId="33" fillId="12" borderId="13" xfId="0" applyFont="1" applyFill="1">
      <alignment vertical="center"/>
    </xf>
    <xf numFmtId="0" fontId="24" fillId="12" borderId="7" xfId="0" applyFont="1" applyFill="1" applyBorder="1" applyAlignment="1">
      <alignment horizontal="center" vertical="center"/>
    </xf>
    <xf numFmtId="0" fontId="25" fillId="12" borderId="7" xfId="0" applyFont="1" applyFill="1" applyBorder="1" applyAlignment="1">
      <alignment horizontal="center" vertical="center"/>
    </xf>
    <xf numFmtId="0" fontId="26" fillId="9" borderId="10" xfId="0" applyFont="1" applyFill="1" applyBorder="1">
      <alignment vertical="center"/>
    </xf>
    <xf numFmtId="0" fontId="27" fillId="9" borderId="10" xfId="0" applyFont="1" applyFill="1" applyBorder="1">
      <alignment vertical="center"/>
    </xf>
    <xf numFmtId="0" fontId="25" fillId="12" borderId="13" xfId="0" applyFont="1" applyFill="1" applyAlignment="1">
      <alignment horizontal="center" vertical="center"/>
    </xf>
    <xf numFmtId="0" fontId="23" fillId="10" borderId="12" xfId="0" applyFont="1" applyFill="1" applyBorder="1">
      <alignment vertical="center"/>
    </xf>
    <xf numFmtId="0" fontId="28" fillId="10" borderId="12" xfId="0" applyFont="1" applyFill="1" applyBorder="1">
      <alignment vertical="center"/>
    </xf>
    <xf numFmtId="10" fontId="33" fillId="10" borderId="12" xfId="0" applyNumberFormat="1" applyFont="1" applyFill="1" applyBorder="1">
      <alignment vertical="center"/>
    </xf>
    <xf numFmtId="0" fontId="33" fillId="10" borderId="12" xfId="0" applyFont="1" applyFill="1" applyBorder="1">
      <alignment vertical="center"/>
    </xf>
    <xf numFmtId="0" fontId="33" fillId="6" borderId="13" xfId="0" applyFont="1" applyFill="1" applyAlignment="1">
      <alignment horizontal="center" vertical="center"/>
    </xf>
    <xf numFmtId="0" fontId="19" fillId="0" borderId="13" xfId="0" applyFont="1">
      <alignment vertical="center"/>
    </xf>
    <xf numFmtId="0" fontId="19" fillId="6" borderId="13" xfId="0" applyFont="1" applyFill="1">
      <alignment vertical="center"/>
    </xf>
    <xf numFmtId="0" fontId="33" fillId="0" borderId="13" xfId="0" applyFont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/>
    </xf>
    <xf numFmtId="0" fontId="33" fillId="11" borderId="7" xfId="0" applyFont="1" applyFill="1" applyBorder="1">
      <alignment vertical="center"/>
    </xf>
    <xf numFmtId="0" fontId="33" fillId="11" borderId="10" xfId="0" applyFont="1" applyFill="1" applyBorder="1">
      <alignment vertical="center"/>
    </xf>
    <xf numFmtId="0" fontId="22" fillId="0" borderId="13" xfId="0" applyFont="1" applyAlignment="1">
      <alignment horizontal="center" vertical="center" wrapText="1"/>
    </xf>
    <xf numFmtId="0" fontId="29" fillId="0" borderId="13" xfId="0" applyFont="1" applyAlignment="1">
      <alignment vertical="center" wrapText="1"/>
    </xf>
    <xf numFmtId="14" fontId="33" fillId="0" borderId="13" xfId="0" applyNumberFormat="1" applyFont="1" applyAlignment="1">
      <alignment vertical="center" wrapText="1"/>
    </xf>
    <xf numFmtId="0" fontId="30" fillId="0" borderId="13" xfId="0" applyFont="1" applyAlignment="1">
      <alignment vertical="center" wrapText="1"/>
    </xf>
    <xf numFmtId="0" fontId="31" fillId="0" borderId="13" xfId="0" applyFont="1" applyAlignment="1">
      <alignment vertical="center" wrapText="1"/>
    </xf>
    <xf numFmtId="0" fontId="32" fillId="0" borderId="13" xfId="0" applyFont="1" applyAlignment="1">
      <alignment vertical="center" wrapText="1"/>
    </xf>
    <xf numFmtId="0" fontId="33" fillId="8" borderId="7" xfId="0" applyFont="1" applyFill="1" applyBorder="1" applyAlignment="1">
      <alignment horizontal="center" vertical="center"/>
    </xf>
    <xf numFmtId="0" fontId="33" fillId="8" borderId="7" xfId="0" applyFont="1" applyFill="1" applyBorder="1">
      <alignment vertical="center"/>
    </xf>
    <xf numFmtId="0" fontId="3" fillId="8" borderId="7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4" xfId="0" applyFont="1" applyFill="1" applyBorder="1" applyAlignment="1">
      <alignment horizontal="center" vertical="center"/>
    </xf>
    <xf numFmtId="0" fontId="33" fillId="0" borderId="7" xfId="0" applyFont="1" applyBorder="1">
      <alignment vertical="center"/>
    </xf>
    <xf numFmtId="0" fontId="33" fillId="0" borderId="6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33" fillId="8" borderId="6" xfId="0" applyFont="1" applyFill="1" applyBorder="1" applyAlignment="1">
      <alignment horizontal="center" vertical="center"/>
    </xf>
    <xf numFmtId="0" fontId="41" fillId="5" borderId="8" xfId="0" applyFont="1" applyFill="1" applyBorder="1" applyAlignment="1">
      <alignment horizontal="center" vertical="center"/>
    </xf>
    <xf numFmtId="0" fontId="42" fillId="9" borderId="10" xfId="0" applyFont="1" applyFill="1" applyBorder="1">
      <alignment vertical="center"/>
    </xf>
    <xf numFmtId="0" fontId="43" fillId="15" borderId="7" xfId="0" applyFont="1" applyFill="1" applyBorder="1">
      <alignment vertical="center"/>
    </xf>
    <xf numFmtId="0" fontId="15" fillId="10" borderId="7" xfId="0" applyFont="1" applyFill="1" applyBorder="1">
      <alignment vertical="center"/>
    </xf>
    <xf numFmtId="0" fontId="44" fillId="15" borderId="7" xfId="0" applyFont="1" applyFill="1" applyBorder="1">
      <alignment vertical="center"/>
    </xf>
    <xf numFmtId="0" fontId="3" fillId="8" borderId="7" xfId="1" applyFont="1" applyBorder="1">
      <alignment vertical="center"/>
    </xf>
    <xf numFmtId="0" fontId="45" fillId="15" borderId="7" xfId="0" applyFont="1" applyFill="1" applyBorder="1">
      <alignment vertical="center"/>
    </xf>
    <xf numFmtId="176" fontId="9" fillId="2" borderId="13" xfId="0" applyNumberFormat="1" applyFont="1" applyFill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center" vertical="center" wrapText="1"/>
    </xf>
    <xf numFmtId="0" fontId="33" fillId="11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0" fillId="0" borderId="13" xfId="0">
      <alignment vertical="center"/>
    </xf>
    <xf numFmtId="0" fontId="46" fillId="5" borderId="8" xfId="0" applyFont="1" applyFill="1" applyBorder="1" applyAlignment="1">
      <alignment horizontal="center" vertical="center"/>
    </xf>
    <xf numFmtId="14" fontId="0" fillId="0" borderId="13" xfId="0" applyNumberFormat="1">
      <alignment vertical="center"/>
    </xf>
    <xf numFmtId="0" fontId="50" fillId="8" borderId="13" xfId="1" applyFont="1">
      <alignment vertical="center"/>
    </xf>
    <xf numFmtId="0" fontId="0" fillId="11" borderId="7" xfId="0" applyFill="1" applyBorder="1" applyAlignment="1">
      <alignment horizontal="center" vertical="center" wrapText="1"/>
    </xf>
    <xf numFmtId="0" fontId="0" fillId="8" borderId="7" xfId="0" applyFill="1" applyBorder="1">
      <alignment vertical="center"/>
    </xf>
    <xf numFmtId="0" fontId="0" fillId="8" borderId="10" xfId="0" applyFill="1" applyBorder="1">
      <alignment vertical="center"/>
    </xf>
    <xf numFmtId="0" fontId="50" fillId="8" borderId="7" xfId="1" applyFont="1" applyBorder="1">
      <alignment vertical="center"/>
    </xf>
    <xf numFmtId="0" fontId="0" fillId="11" borderId="10" xfId="0" applyFill="1" applyBorder="1" applyAlignment="1">
      <alignment horizontal="center" vertical="center" wrapText="1"/>
    </xf>
    <xf numFmtId="0" fontId="44" fillId="15" borderId="11" xfId="0" applyFont="1" applyFill="1" applyBorder="1">
      <alignment vertical="center"/>
    </xf>
    <xf numFmtId="0" fontId="52" fillId="10" borderId="11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10">
    <dxf>
      <font>
        <color rgb="FF00B050"/>
      </font>
    </dxf>
    <dxf>
      <font>
        <color rgb="FFFF0000"/>
      </font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5C5C"/>
        </patternFill>
      </fill>
    </dxf>
    <dxf>
      <font>
        <b val="0"/>
        <i val="0"/>
      </font>
      <fill>
        <patternFill>
          <bgColor rgb="FFFF5C5C"/>
        </patternFill>
      </fill>
    </dxf>
    <dxf>
      <font>
        <b val="0"/>
        <i val="0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 patternType="solid">
          <bgColor rgb="FFFF5C5C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5C5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vert="horz" anchor="ctr" anchorCtr="1"/>
          <a:lstStyle/>
          <a:p>
            <a:pPr lvl="0"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/>
                <a:ea typeface="Microsoft YaHei"/>
              </a:defRPr>
            </a:pPr>
            <a:r>
              <a:rPr lang="zh-CN" altLang="en-US" b="0" i="0"/>
              <a:t>累计盈亏</a:t>
            </a:r>
          </a:p>
        </c:rich>
      </c:tx>
      <c:overlay val="0"/>
      <c:spPr>
        <a:noFill/>
        <a:ln>
          <a:noFill/>
          <a:headEnd/>
          <a:tailEnd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日志!$N$2</c:f>
              <c:strCache>
                <c:ptCount val="1"/>
                <c:pt idx="0">
                  <c:v>累计盈亏
（会自动计算）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/>
              <a:tailEnd/>
            </a:ln>
            <a:effectLst/>
          </c:spPr>
          <c:marker>
            <c:symbol val="none"/>
          </c:marker>
          <c:cat>
            <c:numRef>
              <c:f>日志!$B$3:$B$100</c:f>
              <c:numCache>
                <c:formatCode>m/d/yyyy</c:formatCode>
                <c:ptCount val="98"/>
              </c:numCache>
            </c:numRef>
          </c:cat>
          <c:val>
            <c:numRef>
              <c:f>日志!$N$3:$N$100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8-4A62-A076-891AC06C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437919"/>
        <c:axId val="760285567"/>
      </c:lineChart>
      <c:catAx>
        <c:axId val="302437919"/>
        <c:scaling>
          <c:orientation val="minMax"/>
        </c:scaling>
        <c:delete val="1"/>
        <c:axPos val="b"/>
        <c:numFmt formatCode="mmm" sourceLinked="0"/>
        <c:majorTickMark val="out"/>
        <c:minorTickMark val="none"/>
        <c:tickLblPos val="nextTo"/>
        <c:crossAx val="760285567"/>
        <c:crosses val="autoZero"/>
        <c:auto val="1"/>
        <c:lblAlgn val="ctr"/>
        <c:lblOffset val="100"/>
        <c:noMultiLvlLbl val="1"/>
      </c:catAx>
      <c:valAx>
        <c:axId val="760285567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  <a:headEnd/>
              <a:tailE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  <a:headEnd/>
            <a:tailEnd/>
          </a:ln>
          <a:effectLst/>
        </c:spPr>
        <c:txPr>
          <a:bodyPr vert="horz" anchor="ctr" anchorCtr="1"/>
          <a:lstStyle/>
          <a:p>
            <a:pPr lvl="0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endParaRPr lang="zh-CN"/>
          </a:p>
        </c:txPr>
        <c:crossAx val="302437919"/>
        <c:crosses val="autoZero"/>
        <c:crossBetween val="between"/>
      </c:valAx>
      <c:spPr>
        <a:noFill/>
        <a:ln>
          <a:noFill/>
          <a:headEnd/>
          <a:tailEnd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>
      <a:solidFill>
        <a:schemeClr val="tx1"/>
      </a:solidFill>
      <a:round/>
      <a:headEnd/>
      <a:tailEnd/>
    </a:ln>
    <a:effectLst/>
  </c:spPr>
  <c:txPr>
    <a:bodyPr anchorCtr="0"/>
    <a:lstStyle/>
    <a:p>
      <a:pPr lvl="0">
        <a:defRPr b="0" i="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6728</xdr:colOff>
      <xdr:row>3</xdr:row>
      <xdr:rowOff>11314</xdr:rowOff>
    </xdr:from>
    <xdr:to>
      <xdr:col>26</xdr:col>
      <xdr:colOff>109483</xdr:colOff>
      <xdr:row>20</xdr:row>
      <xdr:rowOff>130279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504"/>
  <sheetViews>
    <sheetView tabSelected="1" zoomScale="70" zoomScaleNormal="70" workbookViewId="0">
      <pane ySplit="2" topLeftCell="A3" activePane="bottomLeft" state="frozen"/>
      <selection pane="bottomLeft" activeCell="A3" sqref="A3:K183"/>
    </sheetView>
  </sheetViews>
  <sheetFormatPr defaultRowHeight="14" x14ac:dyDescent="0.3"/>
  <cols>
    <col min="1" max="1" width="10.58203125" style="94" bestFit="1" customWidth="1"/>
    <col min="2" max="2" width="12.08203125" style="72" customWidth="1"/>
    <col min="3" max="3" width="23.83203125" style="99" customWidth="1"/>
    <col min="4" max="4" width="20.4140625" style="74" customWidth="1"/>
    <col min="5" max="5" width="19.5" style="74" customWidth="1"/>
    <col min="6" max="6" width="31.9140625" style="98" customWidth="1"/>
    <col min="7" max="7" width="14.6640625" style="99" customWidth="1"/>
    <col min="8" max="8" width="9.1640625" style="72" bestFit="1" customWidth="1"/>
    <col min="9" max="9" width="10.5" style="73" bestFit="1" customWidth="1"/>
    <col min="10" max="11" width="10.83203125" style="73" bestFit="1" customWidth="1"/>
    <col min="12" max="12" width="11.1640625" style="73" bestFit="1" customWidth="1"/>
    <col min="13" max="13" width="13.08203125" style="81" bestFit="1" customWidth="1"/>
    <col min="14" max="14" width="19.1640625" style="72" customWidth="1"/>
    <col min="15" max="15" width="25.1640625" style="91" customWidth="1"/>
    <col min="16" max="16" width="29.4140625" customWidth="1"/>
    <col min="17" max="17" width="20.83203125" customWidth="1"/>
    <col min="18" max="18" width="32.58203125" customWidth="1"/>
    <col min="19" max="19" width="9.1640625" customWidth="1"/>
    <col min="20" max="20" width="8.5" bestFit="1" customWidth="1"/>
    <col min="21" max="21" width="12.75" bestFit="1" customWidth="1"/>
    <col min="22" max="22" width="10.58203125" customWidth="1"/>
    <col min="23" max="23" width="10.33203125" customWidth="1"/>
    <col min="24" max="24" width="22.83203125" bestFit="1" customWidth="1"/>
    <col min="25" max="25" width="16.83203125" customWidth="1"/>
    <col min="26" max="26" width="29.58203125" bestFit="1" customWidth="1"/>
  </cols>
  <sheetData>
    <row r="1" spans="1:26" ht="25" x14ac:dyDescent="0.3">
      <c r="B1" s="1" t="s">
        <v>0</v>
      </c>
      <c r="C1" s="2"/>
      <c r="D1" s="3"/>
      <c r="E1" s="3"/>
      <c r="F1" s="89" t="str">
        <f>IFERROR(LOOKUP(2,1/(#REF!&lt;&gt;""),#REF!),"")</f>
        <v/>
      </c>
      <c r="G1" s="2"/>
      <c r="H1" s="4"/>
      <c r="I1" s="5">
        <f>COUNTIFS(B:B,O1,M:M,"Lose")</f>
        <v>0</v>
      </c>
      <c r="J1" s="93" t="str">
        <f>I1&amp;"/3"</f>
        <v>0/3</v>
      </c>
      <c r="K1" s="75">
        <f>COUNTIF(B:B,O1)</f>
        <v>0</v>
      </c>
      <c r="L1" s="76" t="str">
        <f>K1&amp;"/5"</f>
        <v>0/5</v>
      </c>
      <c r="M1" s="6"/>
      <c r="N1" s="6"/>
      <c r="O1" s="89"/>
      <c r="P1" s="6"/>
      <c r="Q1" s="7" t="s">
        <v>1</v>
      </c>
      <c r="R1" s="7"/>
      <c r="S1" s="7"/>
      <c r="T1" s="7"/>
      <c r="U1" s="7"/>
      <c r="V1" s="8" t="s">
        <v>2</v>
      </c>
      <c r="W1" s="9" t="s">
        <v>3</v>
      </c>
      <c r="X1" s="10" t="s">
        <v>4</v>
      </c>
      <c r="Y1" s="11" t="s">
        <v>5</v>
      </c>
      <c r="Z1" s="10" t="s">
        <v>6</v>
      </c>
    </row>
    <row r="2" spans="1:26" ht="26" x14ac:dyDescent="0.3">
      <c r="A2" s="12" t="s">
        <v>7</v>
      </c>
      <c r="B2" s="95" t="s">
        <v>88</v>
      </c>
      <c r="C2" s="12" t="s">
        <v>8</v>
      </c>
      <c r="D2" s="82" t="s">
        <v>77</v>
      </c>
      <c r="E2" s="13" t="s">
        <v>9</v>
      </c>
      <c r="F2" s="90" t="s">
        <v>14</v>
      </c>
      <c r="G2" s="14" t="s">
        <v>97</v>
      </c>
      <c r="H2" s="12" t="s">
        <v>10</v>
      </c>
      <c r="I2" s="12" t="s">
        <v>11</v>
      </c>
      <c r="J2" s="12" t="s">
        <v>12</v>
      </c>
      <c r="K2" s="12" t="s">
        <v>13</v>
      </c>
      <c r="L2" s="14" t="s">
        <v>73</v>
      </c>
      <c r="M2" s="14" t="s">
        <v>74</v>
      </c>
      <c r="N2" s="14" t="s">
        <v>75</v>
      </c>
      <c r="O2" s="90"/>
      <c r="P2" s="15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7" t="e">
        <f>COUNTIF($M$3:$M$404,"win")/(COUNTIF($M$3:$M$404,"win")+COUNTIF($M$3:$M$404,"lose"))</f>
        <v>#DIV/0!</v>
      </c>
      <c r="W2" s="18">
        <f>SUM($L$3:$L$404)</f>
        <v>0</v>
      </c>
      <c r="X2" s="19" t="e">
        <f>AVERAGEIF(L:L,"&gt;0")</f>
        <v>#DIV/0!</v>
      </c>
      <c r="Y2" s="20" t="e">
        <f>AVERAGEIF(L:L,"&lt;0")</f>
        <v>#DIV/0!</v>
      </c>
      <c r="Z2" s="17" t="e">
        <f>X2/-Y2</f>
        <v>#DIV/0!</v>
      </c>
    </row>
    <row r="3" spans="1:26" x14ac:dyDescent="0.3">
      <c r="A3" s="96"/>
      <c r="B3" s="21"/>
      <c r="C3" s="97"/>
      <c r="H3" s="22"/>
      <c r="L3" s="77">
        <f t="shared" ref="L3:L66" si="0">IF(ISBLANK(K3),IF(H3="Long",(J3-I3)*G3,(I3-J3)*G3),IF(H3="Long",(J3-I3)*(G3/2)+(K3-I3)*(G3/2),(I3-J3)*(G3/2)+(I3-K3)*(G3/2)))</f>
        <v>0</v>
      </c>
      <c r="M3" s="78" t="str">
        <f t="shared" ref="M3:M66" si="1">_xlfn.IFS(L3&gt;0,"win",L3&lt;0,"lose",L3=0,"BE")</f>
        <v>BE</v>
      </c>
      <c r="N3" s="79">
        <f>$L$3</f>
        <v>0</v>
      </c>
      <c r="P3" s="23"/>
      <c r="Q3" s="24" t="str">
        <f>IFERROR(LOOKUP(2,1/(B3:B1000&lt;&gt;""),B2:B1000),"")</f>
        <v/>
      </c>
    </row>
    <row r="4" spans="1:26" ht="25" x14ac:dyDescent="0.3">
      <c r="B4" s="21"/>
      <c r="C4" s="97"/>
      <c r="G4" s="100"/>
      <c r="H4" s="26"/>
      <c r="I4" s="25"/>
      <c r="J4" s="25"/>
      <c r="K4" s="25"/>
      <c r="L4" s="80">
        <f t="shared" si="0"/>
        <v>0</v>
      </c>
      <c r="M4" s="78" t="str">
        <f t="shared" si="1"/>
        <v>BE</v>
      </c>
      <c r="N4" s="79">
        <f>L4+O7</f>
        <v>0</v>
      </c>
      <c r="R4" s="27" t="s">
        <v>76</v>
      </c>
      <c r="S4" s="28" t="s">
        <v>21</v>
      </c>
      <c r="T4" s="29" t="s">
        <v>22</v>
      </c>
      <c r="U4" s="28" t="s">
        <v>23</v>
      </c>
    </row>
    <row r="5" spans="1:26" x14ac:dyDescent="0.3">
      <c r="B5" s="21"/>
      <c r="C5" s="97"/>
      <c r="G5" s="100"/>
      <c r="H5" s="26"/>
      <c r="I5" s="25"/>
      <c r="J5" s="25"/>
      <c r="L5" s="77">
        <f t="shared" si="0"/>
        <v>0</v>
      </c>
      <c r="M5" s="78" t="str">
        <f t="shared" si="1"/>
        <v>BE</v>
      </c>
      <c r="N5" s="79">
        <f t="shared" ref="N5:N68" si="2">L5+N4</f>
        <v>0</v>
      </c>
      <c r="R5" s="30" t="s">
        <v>78</v>
      </c>
      <c r="S5" s="31">
        <f t="shared" ref="S5:S27" si="3">SUMIF(C:C,R5,L:L)</f>
        <v>0</v>
      </c>
      <c r="T5" s="32">
        <f t="shared" ref="T5:T27" si="4">IFERROR(COUNTIFS(C:C,R5,M:M,"win")/COUNTIF(C:C,R5),0)</f>
        <v>0</v>
      </c>
      <c r="U5" s="31">
        <f t="shared" ref="U5:U27" si="5">COUNTIF(C:C,R5)</f>
        <v>0</v>
      </c>
    </row>
    <row r="6" spans="1:26" x14ac:dyDescent="0.3">
      <c r="B6" s="21"/>
      <c r="C6" s="97"/>
      <c r="E6" s="87"/>
      <c r="G6" s="100"/>
      <c r="H6" s="26"/>
      <c r="I6" s="25"/>
      <c r="J6" s="25"/>
      <c r="L6" s="77">
        <f t="shared" si="0"/>
        <v>0</v>
      </c>
      <c r="M6" s="78" t="str">
        <f t="shared" si="1"/>
        <v>BE</v>
      </c>
      <c r="N6" s="79">
        <f t="shared" si="2"/>
        <v>0</v>
      </c>
      <c r="R6" s="85" t="s">
        <v>80</v>
      </c>
      <c r="S6" s="31">
        <f t="shared" si="3"/>
        <v>0</v>
      </c>
      <c r="T6" s="32">
        <f t="shared" si="4"/>
        <v>0</v>
      </c>
      <c r="U6" s="31">
        <f t="shared" si="5"/>
        <v>0</v>
      </c>
    </row>
    <row r="7" spans="1:26" x14ac:dyDescent="0.3">
      <c r="B7" s="21"/>
      <c r="C7" s="101"/>
      <c r="F7" s="102"/>
      <c r="L7" s="77">
        <f t="shared" si="0"/>
        <v>0</v>
      </c>
      <c r="M7" s="78" t="str">
        <f t="shared" si="1"/>
        <v>BE</v>
      </c>
      <c r="N7" s="79">
        <f t="shared" si="2"/>
        <v>0</v>
      </c>
      <c r="O7" s="92"/>
      <c r="P7" s="33"/>
      <c r="R7" s="34" t="s">
        <v>84</v>
      </c>
      <c r="S7" s="31">
        <f t="shared" si="3"/>
        <v>0</v>
      </c>
      <c r="T7" s="32">
        <f t="shared" si="4"/>
        <v>0</v>
      </c>
      <c r="U7" s="31">
        <f t="shared" si="5"/>
        <v>0</v>
      </c>
    </row>
    <row r="8" spans="1:26" x14ac:dyDescent="0.3">
      <c r="B8" s="21"/>
      <c r="C8" s="101"/>
      <c r="E8" s="87"/>
      <c r="L8" s="77">
        <f t="shared" si="0"/>
        <v>0</v>
      </c>
      <c r="M8" s="78" t="str">
        <f t="shared" si="1"/>
        <v>BE</v>
      </c>
      <c r="N8" s="79">
        <f t="shared" si="2"/>
        <v>0</v>
      </c>
      <c r="R8" s="35" t="s">
        <v>85</v>
      </c>
      <c r="S8" s="31">
        <f t="shared" si="3"/>
        <v>0</v>
      </c>
      <c r="T8" s="32">
        <f t="shared" si="4"/>
        <v>0</v>
      </c>
      <c r="U8" s="31">
        <f t="shared" si="5"/>
        <v>0</v>
      </c>
    </row>
    <row r="9" spans="1:26" x14ac:dyDescent="0.3">
      <c r="B9" s="21"/>
      <c r="C9" s="101"/>
      <c r="E9" s="87"/>
      <c r="L9" s="77">
        <f t="shared" si="0"/>
        <v>0</v>
      </c>
      <c r="M9" s="78" t="str">
        <f t="shared" si="1"/>
        <v>BE</v>
      </c>
      <c r="N9" s="79">
        <f t="shared" si="2"/>
        <v>0</v>
      </c>
      <c r="R9" s="30" t="s">
        <v>86</v>
      </c>
      <c r="S9" s="31">
        <f t="shared" si="3"/>
        <v>0</v>
      </c>
      <c r="T9" s="32">
        <f t="shared" si="4"/>
        <v>0</v>
      </c>
      <c r="U9" s="31">
        <f t="shared" si="5"/>
        <v>0</v>
      </c>
    </row>
    <row r="10" spans="1:26" x14ac:dyDescent="0.3">
      <c r="B10" s="21"/>
      <c r="C10" s="101"/>
      <c r="E10" s="87"/>
      <c r="J10" s="77"/>
      <c r="L10" s="77">
        <f t="shared" si="0"/>
        <v>0</v>
      </c>
      <c r="M10" s="78" t="str">
        <f t="shared" si="1"/>
        <v>BE</v>
      </c>
      <c r="N10" s="79">
        <f t="shared" si="2"/>
        <v>0</v>
      </c>
      <c r="R10" s="30" t="s">
        <v>92</v>
      </c>
      <c r="S10" s="31">
        <f t="shared" si="3"/>
        <v>0</v>
      </c>
      <c r="T10" s="32">
        <f t="shared" si="4"/>
        <v>0</v>
      </c>
      <c r="U10" s="31">
        <f t="shared" si="5"/>
        <v>0</v>
      </c>
    </row>
    <row r="11" spans="1:26" x14ac:dyDescent="0.3">
      <c r="B11" s="21"/>
      <c r="C11" s="101"/>
      <c r="L11" s="77">
        <f t="shared" si="0"/>
        <v>0</v>
      </c>
      <c r="M11" s="78" t="str">
        <f t="shared" si="1"/>
        <v>BE</v>
      </c>
      <c r="N11" s="79">
        <f t="shared" si="2"/>
        <v>0</v>
      </c>
      <c r="R11" s="30" t="s">
        <v>93</v>
      </c>
      <c r="S11" s="31">
        <f t="shared" si="3"/>
        <v>0</v>
      </c>
      <c r="T11" s="32">
        <f t="shared" si="4"/>
        <v>0</v>
      </c>
      <c r="U11" s="31">
        <f t="shared" si="5"/>
        <v>0</v>
      </c>
    </row>
    <row r="12" spans="1:26" x14ac:dyDescent="0.3">
      <c r="B12" s="21"/>
      <c r="C12" s="101"/>
      <c r="E12" s="87"/>
      <c r="L12" s="77">
        <f t="shared" si="0"/>
        <v>0</v>
      </c>
      <c r="M12" s="78" t="str">
        <f t="shared" si="1"/>
        <v>BE</v>
      </c>
      <c r="N12" s="79">
        <f t="shared" si="2"/>
        <v>0</v>
      </c>
      <c r="R12" s="30" t="s">
        <v>91</v>
      </c>
      <c r="S12" s="31">
        <f t="shared" si="3"/>
        <v>0</v>
      </c>
      <c r="T12" s="32">
        <f t="shared" si="4"/>
        <v>0</v>
      </c>
      <c r="U12" s="31">
        <f t="shared" si="5"/>
        <v>0</v>
      </c>
    </row>
    <row r="13" spans="1:26" x14ac:dyDescent="0.3">
      <c r="B13" s="21"/>
      <c r="C13" s="101"/>
      <c r="L13" s="77">
        <f t="shared" si="0"/>
        <v>0</v>
      </c>
      <c r="M13" s="78" t="str">
        <f t="shared" si="1"/>
        <v>BE</v>
      </c>
      <c r="N13" s="79">
        <f t="shared" si="2"/>
        <v>0</v>
      </c>
      <c r="R13" s="30" t="s">
        <v>105</v>
      </c>
      <c r="S13" s="31">
        <f t="shared" si="3"/>
        <v>0</v>
      </c>
      <c r="T13" s="32">
        <f t="shared" si="4"/>
        <v>0</v>
      </c>
      <c r="U13" s="31">
        <f t="shared" si="5"/>
        <v>0</v>
      </c>
    </row>
    <row r="14" spans="1:26" x14ac:dyDescent="0.3">
      <c r="B14" s="21"/>
      <c r="C14" s="101"/>
      <c r="E14" s="87"/>
      <c r="L14" s="77">
        <f t="shared" si="0"/>
        <v>0</v>
      </c>
      <c r="M14" s="78" t="str">
        <f t="shared" si="1"/>
        <v>BE</v>
      </c>
      <c r="N14" s="79">
        <f t="shared" si="2"/>
        <v>0</v>
      </c>
      <c r="R14" s="35" t="s">
        <v>94</v>
      </c>
      <c r="S14" s="31">
        <f t="shared" si="3"/>
        <v>0</v>
      </c>
      <c r="T14" s="32">
        <f t="shared" si="4"/>
        <v>0</v>
      </c>
      <c r="U14" s="31">
        <f t="shared" si="5"/>
        <v>0</v>
      </c>
    </row>
    <row r="15" spans="1:26" x14ac:dyDescent="0.3">
      <c r="B15" s="21"/>
      <c r="C15" s="101"/>
      <c r="L15" s="77">
        <f t="shared" si="0"/>
        <v>0</v>
      </c>
      <c r="M15" s="78" t="str">
        <f t="shared" si="1"/>
        <v>BE</v>
      </c>
      <c r="N15" s="79">
        <f t="shared" si="2"/>
        <v>0</v>
      </c>
      <c r="R15" s="30" t="s">
        <v>96</v>
      </c>
      <c r="S15" s="31">
        <f t="shared" si="3"/>
        <v>0</v>
      </c>
      <c r="T15" s="32">
        <f t="shared" si="4"/>
        <v>0</v>
      </c>
      <c r="U15" s="31">
        <f t="shared" si="5"/>
        <v>0</v>
      </c>
    </row>
    <row r="16" spans="1:26" x14ac:dyDescent="0.3">
      <c r="B16" s="21"/>
      <c r="C16" s="101"/>
      <c r="L16" s="77">
        <f t="shared" si="0"/>
        <v>0</v>
      </c>
      <c r="M16" s="78" t="str">
        <f t="shared" si="1"/>
        <v>BE</v>
      </c>
      <c r="N16" s="79">
        <f t="shared" si="2"/>
        <v>0</v>
      </c>
      <c r="R16" s="30" t="s">
        <v>98</v>
      </c>
      <c r="S16" s="31">
        <f t="shared" si="3"/>
        <v>0</v>
      </c>
      <c r="T16" s="32">
        <f t="shared" si="4"/>
        <v>0</v>
      </c>
      <c r="U16" s="31">
        <f t="shared" si="5"/>
        <v>0</v>
      </c>
    </row>
    <row r="17" spans="2:26" x14ac:dyDescent="0.3">
      <c r="B17" s="21"/>
      <c r="C17" s="101"/>
      <c r="L17" s="77">
        <f t="shared" si="0"/>
        <v>0</v>
      </c>
      <c r="M17" s="78" t="str">
        <f t="shared" si="1"/>
        <v>BE</v>
      </c>
      <c r="N17" s="79">
        <f t="shared" si="2"/>
        <v>0</v>
      </c>
      <c r="R17" s="30" t="s">
        <v>101</v>
      </c>
      <c r="S17" s="31">
        <f t="shared" si="3"/>
        <v>0</v>
      </c>
      <c r="T17" s="32">
        <f t="shared" si="4"/>
        <v>0</v>
      </c>
      <c r="U17" s="31">
        <f t="shared" si="5"/>
        <v>0</v>
      </c>
    </row>
    <row r="18" spans="2:26" x14ac:dyDescent="0.3">
      <c r="B18" s="21"/>
      <c r="C18" s="97"/>
      <c r="E18" s="87"/>
      <c r="L18" s="77">
        <f t="shared" si="0"/>
        <v>0</v>
      </c>
      <c r="M18" s="78" t="str">
        <f t="shared" si="1"/>
        <v>BE</v>
      </c>
      <c r="N18" s="79">
        <f t="shared" si="2"/>
        <v>0</v>
      </c>
      <c r="R18" s="30" t="s">
        <v>102</v>
      </c>
      <c r="S18" s="31">
        <f t="shared" si="3"/>
        <v>0</v>
      </c>
      <c r="T18" s="32">
        <f t="shared" si="4"/>
        <v>0</v>
      </c>
      <c r="U18" s="31">
        <f t="shared" si="5"/>
        <v>0</v>
      </c>
    </row>
    <row r="19" spans="2:26" x14ac:dyDescent="0.3">
      <c r="B19" s="21"/>
      <c r="C19" s="101"/>
      <c r="E19" s="87"/>
      <c r="L19" s="77">
        <f t="shared" si="0"/>
        <v>0</v>
      </c>
      <c r="M19" s="78" t="str">
        <f t="shared" si="1"/>
        <v>BE</v>
      </c>
      <c r="N19" s="79">
        <f t="shared" si="2"/>
        <v>0</v>
      </c>
      <c r="R19" s="35" t="s">
        <v>103</v>
      </c>
      <c r="S19" s="31">
        <f t="shared" si="3"/>
        <v>0</v>
      </c>
      <c r="T19" s="32">
        <f t="shared" si="4"/>
        <v>0</v>
      </c>
      <c r="U19" s="31">
        <f t="shared" si="5"/>
        <v>0</v>
      </c>
    </row>
    <row r="20" spans="2:26" x14ac:dyDescent="0.3">
      <c r="B20" s="21"/>
      <c r="C20" s="101"/>
      <c r="L20" s="77">
        <f t="shared" si="0"/>
        <v>0</v>
      </c>
      <c r="M20" s="78" t="str">
        <f t="shared" si="1"/>
        <v>BE</v>
      </c>
      <c r="N20" s="79">
        <f t="shared" si="2"/>
        <v>0</v>
      </c>
      <c r="R20" s="30" t="s">
        <v>104</v>
      </c>
      <c r="S20" s="31">
        <f t="shared" si="3"/>
        <v>0</v>
      </c>
      <c r="T20" s="32">
        <f t="shared" si="4"/>
        <v>0</v>
      </c>
      <c r="U20" s="31">
        <f t="shared" si="5"/>
        <v>0</v>
      </c>
    </row>
    <row r="21" spans="2:26" x14ac:dyDescent="0.3">
      <c r="B21" s="21"/>
      <c r="C21" s="101"/>
      <c r="L21" s="77">
        <f t="shared" si="0"/>
        <v>0</v>
      </c>
      <c r="M21" s="78" t="str">
        <f t="shared" si="1"/>
        <v>BE</v>
      </c>
      <c r="N21" s="79">
        <f t="shared" si="2"/>
        <v>0</v>
      </c>
      <c r="R21" s="30" t="s">
        <v>106</v>
      </c>
      <c r="S21" s="31">
        <f t="shared" si="3"/>
        <v>0</v>
      </c>
      <c r="T21" s="32">
        <f t="shared" si="4"/>
        <v>0</v>
      </c>
      <c r="U21" s="31">
        <f t="shared" si="5"/>
        <v>0</v>
      </c>
      <c r="V21" s="36"/>
      <c r="W21" s="37"/>
    </row>
    <row r="22" spans="2:26" ht="12.75" customHeight="1" x14ac:dyDescent="0.3">
      <c r="B22" s="21"/>
      <c r="C22" s="101"/>
      <c r="L22" s="77">
        <f t="shared" si="0"/>
        <v>0</v>
      </c>
      <c r="M22" s="78" t="str">
        <f t="shared" si="1"/>
        <v>BE</v>
      </c>
      <c r="N22" s="79">
        <f t="shared" si="2"/>
        <v>0</v>
      </c>
      <c r="R22" s="35" t="s">
        <v>107</v>
      </c>
      <c r="S22" s="31">
        <f t="shared" si="3"/>
        <v>0</v>
      </c>
      <c r="T22" s="32">
        <f t="shared" si="4"/>
        <v>0</v>
      </c>
      <c r="U22" s="31">
        <f t="shared" si="5"/>
        <v>0</v>
      </c>
      <c r="V22" s="38"/>
      <c r="W22" s="39"/>
      <c r="X22" s="40"/>
      <c r="Y22" s="40"/>
    </row>
    <row r="23" spans="2:26" x14ac:dyDescent="0.3">
      <c r="B23" s="21"/>
      <c r="C23" s="101"/>
      <c r="L23" s="77">
        <f t="shared" si="0"/>
        <v>0</v>
      </c>
      <c r="M23" s="78" t="str">
        <f t="shared" si="1"/>
        <v>BE</v>
      </c>
      <c r="N23" s="79">
        <f t="shared" si="2"/>
        <v>0</v>
      </c>
      <c r="R23" s="30" t="s">
        <v>108</v>
      </c>
      <c r="S23" s="31">
        <f t="shared" si="3"/>
        <v>0</v>
      </c>
      <c r="T23" s="32">
        <f t="shared" si="4"/>
        <v>0</v>
      </c>
      <c r="U23" s="31">
        <f t="shared" si="5"/>
        <v>0</v>
      </c>
      <c r="V23" s="36"/>
      <c r="W23" s="37"/>
    </row>
    <row r="24" spans="2:26" x14ac:dyDescent="0.3">
      <c r="B24" s="21"/>
      <c r="C24" s="97"/>
      <c r="L24" s="77">
        <f t="shared" si="0"/>
        <v>0</v>
      </c>
      <c r="M24" s="78" t="str">
        <f t="shared" si="1"/>
        <v>BE</v>
      </c>
      <c r="N24" s="79">
        <f t="shared" si="2"/>
        <v>0</v>
      </c>
      <c r="R24" s="35" t="s">
        <v>109</v>
      </c>
      <c r="S24" s="41">
        <f t="shared" si="3"/>
        <v>0</v>
      </c>
      <c r="T24" s="32">
        <f t="shared" si="4"/>
        <v>0</v>
      </c>
      <c r="U24" s="41">
        <f t="shared" si="5"/>
        <v>0</v>
      </c>
      <c r="W24" s="42"/>
      <c r="X24" s="43" t="s">
        <v>24</v>
      </c>
      <c r="Y24" s="43" t="s">
        <v>25</v>
      </c>
      <c r="Z24" s="43" t="s">
        <v>26</v>
      </c>
    </row>
    <row r="25" spans="2:26" ht="71.25" customHeight="1" x14ac:dyDescent="0.3">
      <c r="B25" s="21"/>
      <c r="C25" s="101"/>
      <c r="D25" s="87"/>
      <c r="L25" s="77">
        <f t="shared" si="0"/>
        <v>0</v>
      </c>
      <c r="M25" s="78" t="str">
        <f t="shared" si="1"/>
        <v>BE</v>
      </c>
      <c r="N25" s="79">
        <f t="shared" si="2"/>
        <v>0</v>
      </c>
      <c r="R25" s="35" t="s">
        <v>110</v>
      </c>
      <c r="S25" s="41">
        <f t="shared" si="3"/>
        <v>0</v>
      </c>
      <c r="T25" s="44">
        <f t="shared" si="4"/>
        <v>0</v>
      </c>
      <c r="U25" s="41">
        <f t="shared" si="5"/>
        <v>0</v>
      </c>
      <c r="W25" s="43" t="s">
        <v>27</v>
      </c>
      <c r="X25" s="45" t="s">
        <v>28</v>
      </c>
      <c r="Y25" s="46" t="s">
        <v>29</v>
      </c>
      <c r="Z25" s="46" t="s">
        <v>30</v>
      </c>
    </row>
    <row r="26" spans="2:26" x14ac:dyDescent="0.3">
      <c r="B26" s="21"/>
      <c r="C26" s="101"/>
      <c r="D26" s="87"/>
      <c r="L26" s="77">
        <f t="shared" si="0"/>
        <v>0</v>
      </c>
      <c r="M26" s="78" t="str">
        <f t="shared" si="1"/>
        <v>BE</v>
      </c>
      <c r="N26" s="79">
        <f t="shared" si="2"/>
        <v>0</v>
      </c>
      <c r="R26" s="35" t="s">
        <v>111</v>
      </c>
      <c r="S26" s="41">
        <f t="shared" si="3"/>
        <v>0</v>
      </c>
      <c r="T26" s="44">
        <f t="shared" si="4"/>
        <v>0</v>
      </c>
      <c r="U26" s="41">
        <f t="shared" si="5"/>
        <v>0</v>
      </c>
      <c r="W26" s="43" t="s">
        <v>25</v>
      </c>
      <c r="X26" s="46" t="s">
        <v>31</v>
      </c>
      <c r="Y26" s="46" t="s">
        <v>32</v>
      </c>
      <c r="Z26" s="46" t="s">
        <v>31</v>
      </c>
    </row>
    <row r="27" spans="2:26" ht="56" x14ac:dyDescent="0.3">
      <c r="D27" s="87"/>
      <c r="L27" s="77">
        <f t="shared" si="0"/>
        <v>0</v>
      </c>
      <c r="M27" s="78" t="str">
        <f t="shared" si="1"/>
        <v>BE</v>
      </c>
      <c r="N27" s="79">
        <f t="shared" si="2"/>
        <v>0</v>
      </c>
      <c r="R27" s="104" t="s">
        <v>112</v>
      </c>
      <c r="S27" s="41">
        <f t="shared" si="3"/>
        <v>0</v>
      </c>
      <c r="T27" s="44">
        <f t="shared" si="4"/>
        <v>0</v>
      </c>
      <c r="U27" s="41">
        <f t="shared" si="5"/>
        <v>0</v>
      </c>
      <c r="W27" s="43" t="s">
        <v>33</v>
      </c>
      <c r="X27" s="46" t="s">
        <v>30</v>
      </c>
      <c r="Y27" s="46" t="s">
        <v>29</v>
      </c>
      <c r="Z27" s="45" t="s">
        <v>28</v>
      </c>
    </row>
    <row r="28" spans="2:26" x14ac:dyDescent="0.3">
      <c r="D28" s="87"/>
      <c r="L28" s="77">
        <f t="shared" si="0"/>
        <v>0</v>
      </c>
      <c r="M28" s="78" t="str">
        <f t="shared" si="1"/>
        <v>BE</v>
      </c>
      <c r="N28" s="79">
        <f t="shared" si="2"/>
        <v>0</v>
      </c>
      <c r="W28" s="47"/>
      <c r="X28" s="48"/>
      <c r="Y28" s="48"/>
      <c r="Z28" s="48"/>
    </row>
    <row r="29" spans="2:26" x14ac:dyDescent="0.3">
      <c r="D29" s="87"/>
      <c r="L29" s="77">
        <f t="shared" si="0"/>
        <v>0</v>
      </c>
      <c r="M29" s="78" t="str">
        <f t="shared" si="1"/>
        <v>BE</v>
      </c>
      <c r="N29" s="79">
        <f t="shared" si="2"/>
        <v>0</v>
      </c>
      <c r="W29" s="43" t="s">
        <v>31</v>
      </c>
      <c r="X29" s="46" t="s">
        <v>34</v>
      </c>
      <c r="Y29" s="46" t="s">
        <v>35</v>
      </c>
      <c r="Z29" s="46" t="s">
        <v>36</v>
      </c>
    </row>
    <row r="30" spans="2:26" x14ac:dyDescent="0.3">
      <c r="D30" s="87"/>
      <c r="L30" s="77">
        <f t="shared" si="0"/>
        <v>0</v>
      </c>
      <c r="M30" s="78" t="str">
        <f t="shared" si="1"/>
        <v>BE</v>
      </c>
      <c r="N30" s="79">
        <f t="shared" si="2"/>
        <v>0</v>
      </c>
      <c r="W30" s="43" t="s">
        <v>32</v>
      </c>
      <c r="X30" s="46" t="s">
        <v>37</v>
      </c>
      <c r="Y30" s="46" t="s">
        <v>38</v>
      </c>
      <c r="Z30" s="46" t="s">
        <v>39</v>
      </c>
    </row>
    <row r="31" spans="2:26" ht="14.5" x14ac:dyDescent="0.3">
      <c r="B31" s="21"/>
      <c r="C31" s="101"/>
      <c r="D31" s="87"/>
      <c r="L31" s="77">
        <f t="shared" si="0"/>
        <v>0</v>
      </c>
      <c r="M31" s="78" t="str">
        <f t="shared" si="1"/>
        <v>BE</v>
      </c>
      <c r="N31" s="79">
        <f t="shared" si="2"/>
        <v>0</v>
      </c>
      <c r="W31" s="43" t="s">
        <v>40</v>
      </c>
      <c r="X31" s="49" t="s">
        <v>41</v>
      </c>
      <c r="Y31" s="50" t="s">
        <v>42</v>
      </c>
      <c r="Z31" s="46" t="s">
        <v>43</v>
      </c>
    </row>
    <row r="32" spans="2:26" ht="14.5" x14ac:dyDescent="0.3">
      <c r="B32" s="21"/>
      <c r="C32" s="101"/>
      <c r="D32" s="87"/>
      <c r="L32" s="77">
        <f t="shared" si="0"/>
        <v>0</v>
      </c>
      <c r="M32" s="78" t="str">
        <f t="shared" si="1"/>
        <v>BE</v>
      </c>
      <c r="N32" s="79">
        <f t="shared" si="2"/>
        <v>0</v>
      </c>
      <c r="X32" s="50" t="s">
        <v>44</v>
      </c>
      <c r="Z32" s="43" t="s">
        <v>45</v>
      </c>
    </row>
    <row r="33" spans="2:27" x14ac:dyDescent="0.3">
      <c r="B33" s="21"/>
      <c r="C33" s="101"/>
      <c r="D33" s="87"/>
      <c r="L33" s="77">
        <f t="shared" si="0"/>
        <v>0</v>
      </c>
      <c r="M33" s="78" t="str">
        <f t="shared" si="1"/>
        <v>BE</v>
      </c>
      <c r="N33" s="79">
        <f t="shared" si="2"/>
        <v>0</v>
      </c>
      <c r="Z33" s="46" t="s">
        <v>32</v>
      </c>
      <c r="AA33" s="26"/>
    </row>
    <row r="34" spans="2:27" ht="14.5" x14ac:dyDescent="0.3">
      <c r="B34" s="21"/>
      <c r="C34" s="101"/>
      <c r="D34" s="87"/>
      <c r="L34" s="77">
        <f t="shared" si="0"/>
        <v>0</v>
      </c>
      <c r="M34" s="78" t="str">
        <f t="shared" si="1"/>
        <v>BE</v>
      </c>
      <c r="N34" s="79">
        <f t="shared" si="2"/>
        <v>0</v>
      </c>
      <c r="R34" s="83" t="s">
        <v>77</v>
      </c>
      <c r="S34" s="52" t="s">
        <v>46</v>
      </c>
      <c r="T34" s="51" t="s">
        <v>22</v>
      </c>
      <c r="U34" s="52" t="s">
        <v>23</v>
      </c>
      <c r="X34" s="53" t="s">
        <v>47</v>
      </c>
      <c r="Z34" s="46" t="s">
        <v>48</v>
      </c>
    </row>
    <row r="35" spans="2:27" ht="14.5" x14ac:dyDescent="0.3">
      <c r="D35" s="87"/>
      <c r="L35" s="77">
        <f t="shared" si="0"/>
        <v>0</v>
      </c>
      <c r="M35" s="78" t="str">
        <f t="shared" si="1"/>
        <v>BE</v>
      </c>
      <c r="N35" s="79">
        <f t="shared" si="2"/>
        <v>0</v>
      </c>
      <c r="R35" s="54" t="s">
        <v>49</v>
      </c>
      <c r="S35" s="55">
        <f>SUMIF(D:D,R35,L:L)</f>
        <v>0</v>
      </c>
      <c r="T35" s="56">
        <f>IFERROR(COUNTIFS(D:D,R35,M:M,"win")/COUNTIF(D:D,R35),0)</f>
        <v>0</v>
      </c>
      <c r="U35" s="57">
        <f>COUNTIF(D:D,R35)</f>
        <v>0</v>
      </c>
      <c r="Z35" s="50" t="s">
        <v>50</v>
      </c>
    </row>
    <row r="36" spans="2:27" ht="14.5" x14ac:dyDescent="0.3">
      <c r="D36" s="87"/>
      <c r="L36" s="77">
        <f t="shared" si="0"/>
        <v>0</v>
      </c>
      <c r="M36" s="78" t="str">
        <f t="shared" si="1"/>
        <v>BE</v>
      </c>
      <c r="N36" s="79">
        <f t="shared" si="2"/>
        <v>0</v>
      </c>
      <c r="R36" s="54" t="s">
        <v>51</v>
      </c>
      <c r="S36" s="55">
        <f>SUMIF(D:D,R36,L:L)</f>
        <v>0</v>
      </c>
      <c r="T36" s="56">
        <f>IFERROR(COUNTIFS(D:D,R36,M:M,"win")/COUNTIF(D:D,R36),0)</f>
        <v>0</v>
      </c>
      <c r="U36" s="57">
        <f>COUNTIF(D:D,R36)</f>
        <v>0</v>
      </c>
      <c r="X36" s="58"/>
    </row>
    <row r="37" spans="2:27" ht="14.5" x14ac:dyDescent="0.3">
      <c r="B37" s="21"/>
      <c r="C37" s="101"/>
      <c r="D37" s="87"/>
      <c r="L37" s="77">
        <f t="shared" si="0"/>
        <v>0</v>
      </c>
      <c r="M37" s="78" t="str">
        <f t="shared" si="1"/>
        <v>BE</v>
      </c>
      <c r="N37" s="79">
        <f t="shared" si="2"/>
        <v>0</v>
      </c>
      <c r="R37" s="54" t="s">
        <v>52</v>
      </c>
      <c r="S37" s="55">
        <f>SUMIF(D:D,R37,L:L)</f>
        <v>0</v>
      </c>
      <c r="T37" s="56">
        <f>IFERROR(COUNTIFS(D:D,R37,M:M,"win")/COUNTIF(D:D,R37),0)</f>
        <v>0</v>
      </c>
      <c r="U37" s="57">
        <f>COUNTIF(D:D,R37)</f>
        <v>0</v>
      </c>
      <c r="V37" s="59"/>
      <c r="W37" s="60"/>
    </row>
    <row r="38" spans="2:27" ht="14.5" x14ac:dyDescent="0.3">
      <c r="B38" s="21"/>
      <c r="C38" s="101"/>
      <c r="D38" s="87"/>
      <c r="E38" s="98"/>
      <c r="L38" s="77">
        <f t="shared" si="0"/>
        <v>0</v>
      </c>
      <c r="M38" s="78" t="str">
        <f t="shared" si="1"/>
        <v>BE</v>
      </c>
      <c r="N38" s="79">
        <f t="shared" si="2"/>
        <v>0</v>
      </c>
      <c r="P38" t="s">
        <v>59</v>
      </c>
      <c r="R38" s="54" t="s">
        <v>53</v>
      </c>
      <c r="S38" s="55">
        <f>SUMIF(D:D,R38,L:L)</f>
        <v>0</v>
      </c>
      <c r="T38" s="56">
        <f>IFERROR(COUNTIFS(D:D,R38,M:M,"win")/COUNTIF(D:D,R38),0)</f>
        <v>0</v>
      </c>
      <c r="U38" s="57">
        <f>COUNTIF(D:D,R38)</f>
        <v>0</v>
      </c>
      <c r="V38" s="59"/>
      <c r="W38" s="60"/>
    </row>
    <row r="39" spans="2:27" x14ac:dyDescent="0.3">
      <c r="B39" s="21"/>
      <c r="C39" s="101"/>
      <c r="D39" s="87"/>
      <c r="L39" s="77">
        <f t="shared" si="0"/>
        <v>0</v>
      </c>
      <c r="M39" s="78" t="str">
        <f t="shared" si="1"/>
        <v>BE</v>
      </c>
      <c r="N39" s="79">
        <f t="shared" si="2"/>
        <v>0</v>
      </c>
      <c r="V39" s="59"/>
      <c r="W39" s="60"/>
    </row>
    <row r="40" spans="2:27" x14ac:dyDescent="0.3">
      <c r="B40" s="21"/>
      <c r="C40" s="101"/>
      <c r="D40" s="87"/>
      <c r="L40" s="77">
        <f t="shared" si="0"/>
        <v>0</v>
      </c>
      <c r="M40" s="78" t="str">
        <f t="shared" si="1"/>
        <v>BE</v>
      </c>
      <c r="N40" s="79">
        <f t="shared" si="2"/>
        <v>0</v>
      </c>
      <c r="U40" s="37"/>
      <c r="V40" s="36"/>
      <c r="W40" s="37"/>
    </row>
    <row r="41" spans="2:27" x14ac:dyDescent="0.3">
      <c r="B41" s="21"/>
      <c r="C41" s="101"/>
      <c r="D41" s="87"/>
      <c r="L41" s="77">
        <f t="shared" si="0"/>
        <v>0</v>
      </c>
      <c r="M41" s="78" t="str">
        <f t="shared" si="1"/>
        <v>BE</v>
      </c>
      <c r="N41" s="79">
        <f t="shared" si="2"/>
        <v>0</v>
      </c>
      <c r="U41" s="37"/>
      <c r="V41" s="36"/>
      <c r="W41" s="37"/>
    </row>
    <row r="42" spans="2:27" x14ac:dyDescent="0.3">
      <c r="B42" s="21"/>
      <c r="C42" s="101"/>
      <c r="D42" s="87"/>
      <c r="L42" s="77">
        <f t="shared" si="0"/>
        <v>0</v>
      </c>
      <c r="M42" s="78" t="str">
        <f t="shared" si="1"/>
        <v>BE</v>
      </c>
      <c r="N42" s="79">
        <f t="shared" si="2"/>
        <v>0</v>
      </c>
      <c r="T42" s="37"/>
      <c r="U42" s="37"/>
    </row>
    <row r="43" spans="2:27" x14ac:dyDescent="0.3">
      <c r="B43" s="21"/>
      <c r="C43" s="101"/>
      <c r="D43" s="87"/>
      <c r="L43" s="77">
        <f t="shared" si="0"/>
        <v>0</v>
      </c>
      <c r="M43" s="78" t="str">
        <f t="shared" si="1"/>
        <v>BE</v>
      </c>
      <c r="N43" s="79">
        <f t="shared" si="2"/>
        <v>0</v>
      </c>
      <c r="T43" s="37"/>
      <c r="U43" s="37"/>
    </row>
    <row r="44" spans="2:27" x14ac:dyDescent="0.3">
      <c r="B44" s="21"/>
      <c r="C44" s="101"/>
      <c r="D44" s="87"/>
      <c r="L44" s="77">
        <f t="shared" si="0"/>
        <v>0</v>
      </c>
      <c r="M44" s="78" t="str">
        <f t="shared" si="1"/>
        <v>BE</v>
      </c>
      <c r="N44" s="79">
        <f t="shared" si="2"/>
        <v>0</v>
      </c>
      <c r="P44" t="s">
        <v>59</v>
      </c>
      <c r="R44" s="59"/>
      <c r="S44" s="60"/>
    </row>
    <row r="45" spans="2:27" x14ac:dyDescent="0.3">
      <c r="B45" s="21"/>
      <c r="C45" s="101"/>
      <c r="D45" s="87"/>
      <c r="L45" s="77">
        <f t="shared" si="0"/>
        <v>0</v>
      </c>
      <c r="M45" s="78" t="str">
        <f t="shared" si="1"/>
        <v>BE</v>
      </c>
      <c r="N45" s="79">
        <f t="shared" si="2"/>
        <v>0</v>
      </c>
      <c r="P45" t="s">
        <v>59</v>
      </c>
      <c r="R45" s="59"/>
      <c r="S45" s="60"/>
      <c r="V45" s="36"/>
      <c r="W45" s="37"/>
    </row>
    <row r="46" spans="2:27" x14ac:dyDescent="0.3">
      <c r="B46" s="21"/>
      <c r="C46" s="101"/>
      <c r="D46" s="87"/>
      <c r="L46" s="77">
        <f t="shared" si="0"/>
        <v>0</v>
      </c>
      <c r="M46" s="78" t="str">
        <f t="shared" si="1"/>
        <v>BE</v>
      </c>
      <c r="N46" s="79">
        <f t="shared" si="2"/>
        <v>0</v>
      </c>
      <c r="P46" t="s">
        <v>58</v>
      </c>
      <c r="R46" s="59"/>
      <c r="S46" s="60"/>
      <c r="V46" s="36"/>
      <c r="W46" s="37"/>
    </row>
    <row r="47" spans="2:27" x14ac:dyDescent="0.3">
      <c r="B47" s="21"/>
      <c r="C47" s="101"/>
      <c r="D47" s="87"/>
      <c r="L47" s="77">
        <f t="shared" si="0"/>
        <v>0</v>
      </c>
      <c r="M47" s="78" t="str">
        <f t="shared" si="1"/>
        <v>BE</v>
      </c>
      <c r="N47" s="79">
        <f t="shared" si="2"/>
        <v>0</v>
      </c>
    </row>
    <row r="48" spans="2:27" x14ac:dyDescent="0.3">
      <c r="B48" s="21"/>
      <c r="D48" s="87"/>
      <c r="L48" s="77">
        <f t="shared" si="0"/>
        <v>0</v>
      </c>
      <c r="M48" s="78" t="str">
        <f t="shared" si="1"/>
        <v>BE</v>
      </c>
      <c r="N48" s="79">
        <f t="shared" si="2"/>
        <v>0</v>
      </c>
    </row>
    <row r="49" spans="2:23" x14ac:dyDescent="0.3">
      <c r="B49" s="21"/>
      <c r="C49" s="101"/>
      <c r="D49" s="87"/>
      <c r="L49" s="77">
        <f t="shared" si="0"/>
        <v>0</v>
      </c>
      <c r="M49" s="78" t="str">
        <f t="shared" si="1"/>
        <v>BE</v>
      </c>
      <c r="N49" s="79">
        <f t="shared" si="2"/>
        <v>0</v>
      </c>
      <c r="R49" s="59"/>
      <c r="S49" s="60"/>
    </row>
    <row r="50" spans="2:23" x14ac:dyDescent="0.3">
      <c r="B50" s="21"/>
      <c r="C50" s="101"/>
      <c r="D50" s="87"/>
      <c r="L50" s="77">
        <f t="shared" si="0"/>
        <v>0</v>
      </c>
      <c r="M50" s="78" t="str">
        <f t="shared" si="1"/>
        <v>BE</v>
      </c>
      <c r="N50" s="79">
        <f t="shared" si="2"/>
        <v>0</v>
      </c>
      <c r="R50" s="59"/>
      <c r="S50" s="60"/>
    </row>
    <row r="51" spans="2:23" x14ac:dyDescent="0.3">
      <c r="B51" s="21"/>
      <c r="C51" s="101"/>
      <c r="D51" s="87"/>
      <c r="L51" s="77">
        <f t="shared" si="0"/>
        <v>0</v>
      </c>
      <c r="M51" s="78" t="str">
        <f t="shared" si="1"/>
        <v>BE</v>
      </c>
      <c r="N51" s="79">
        <f t="shared" si="2"/>
        <v>0</v>
      </c>
      <c r="R51" s="59"/>
      <c r="S51" s="60"/>
    </row>
    <row r="52" spans="2:23" x14ac:dyDescent="0.3">
      <c r="B52" s="21"/>
      <c r="C52" s="101"/>
      <c r="D52" s="87"/>
      <c r="L52" s="77">
        <f t="shared" si="0"/>
        <v>0</v>
      </c>
      <c r="M52" s="78" t="str">
        <f t="shared" si="1"/>
        <v>BE</v>
      </c>
      <c r="N52" s="79">
        <f t="shared" si="2"/>
        <v>0</v>
      </c>
    </row>
    <row r="53" spans="2:23" x14ac:dyDescent="0.3">
      <c r="B53" s="21"/>
      <c r="C53" s="101"/>
      <c r="D53" s="87"/>
      <c r="L53" s="77">
        <f t="shared" si="0"/>
        <v>0</v>
      </c>
      <c r="M53" s="78" t="str">
        <f t="shared" si="1"/>
        <v>BE</v>
      </c>
      <c r="N53" s="79">
        <f t="shared" si="2"/>
        <v>0</v>
      </c>
      <c r="S53" s="37"/>
    </row>
    <row r="54" spans="2:23" x14ac:dyDescent="0.3">
      <c r="B54" s="21"/>
      <c r="C54" s="101"/>
      <c r="D54" s="87"/>
      <c r="L54" s="77">
        <f t="shared" si="0"/>
        <v>0</v>
      </c>
      <c r="M54" s="78" t="str">
        <f t="shared" si="1"/>
        <v>BE</v>
      </c>
      <c r="N54" s="79">
        <f t="shared" si="2"/>
        <v>0</v>
      </c>
      <c r="S54" s="37"/>
    </row>
    <row r="55" spans="2:23" x14ac:dyDescent="0.3">
      <c r="B55" s="21"/>
      <c r="C55" s="101"/>
      <c r="D55" s="87"/>
      <c r="L55" s="77">
        <f t="shared" si="0"/>
        <v>0</v>
      </c>
      <c r="M55" s="78" t="str">
        <f t="shared" si="1"/>
        <v>BE</v>
      </c>
      <c r="N55" s="79">
        <f t="shared" si="2"/>
        <v>0</v>
      </c>
      <c r="S55" s="37"/>
      <c r="V55" s="36"/>
      <c r="W55" s="37"/>
    </row>
    <row r="56" spans="2:23" x14ac:dyDescent="0.3">
      <c r="B56" s="21"/>
      <c r="C56" s="101"/>
      <c r="D56" s="87"/>
      <c r="L56" s="77">
        <f t="shared" si="0"/>
        <v>0</v>
      </c>
      <c r="M56" s="78" t="str">
        <f t="shared" si="1"/>
        <v>BE</v>
      </c>
      <c r="N56" s="79">
        <f t="shared" si="2"/>
        <v>0</v>
      </c>
      <c r="S56" s="37"/>
      <c r="U56" s="37"/>
      <c r="V56" s="36"/>
      <c r="W56" s="37"/>
    </row>
    <row r="57" spans="2:23" x14ac:dyDescent="0.3">
      <c r="B57" s="21"/>
      <c r="C57" s="101"/>
      <c r="D57" s="87"/>
      <c r="L57" s="77">
        <f t="shared" si="0"/>
        <v>0</v>
      </c>
      <c r="M57" s="78" t="str">
        <f t="shared" si="1"/>
        <v>BE</v>
      </c>
      <c r="N57" s="79">
        <f t="shared" si="2"/>
        <v>0</v>
      </c>
      <c r="S57" s="37"/>
      <c r="U57" s="37"/>
      <c r="V57" s="36"/>
      <c r="W57" s="37"/>
    </row>
    <row r="58" spans="2:23" x14ac:dyDescent="0.3">
      <c r="B58" s="21"/>
      <c r="C58" s="101"/>
      <c r="D58" s="87"/>
      <c r="L58" s="77">
        <f t="shared" si="0"/>
        <v>0</v>
      </c>
      <c r="M58" s="78" t="str">
        <f t="shared" si="1"/>
        <v>BE</v>
      </c>
      <c r="N58" s="79">
        <f t="shared" si="2"/>
        <v>0</v>
      </c>
      <c r="S58" s="37"/>
      <c r="U58" s="37"/>
      <c r="V58" s="36"/>
      <c r="W58" s="37"/>
    </row>
    <row r="59" spans="2:23" x14ac:dyDescent="0.3">
      <c r="B59" s="21"/>
      <c r="C59" s="101"/>
      <c r="D59" s="87"/>
      <c r="L59" s="77">
        <f t="shared" si="0"/>
        <v>0</v>
      </c>
      <c r="M59" s="78" t="str">
        <f t="shared" si="1"/>
        <v>BE</v>
      </c>
      <c r="N59" s="79">
        <f t="shared" si="2"/>
        <v>0</v>
      </c>
      <c r="S59" s="37"/>
      <c r="U59" s="37"/>
      <c r="V59" s="36"/>
      <c r="W59" s="37"/>
    </row>
    <row r="60" spans="2:23" x14ac:dyDescent="0.3">
      <c r="B60" s="21"/>
      <c r="C60" s="101"/>
      <c r="D60" s="87"/>
      <c r="L60" s="77">
        <f t="shared" si="0"/>
        <v>0</v>
      </c>
      <c r="M60" s="78" t="str">
        <f t="shared" si="1"/>
        <v>BE</v>
      </c>
      <c r="N60" s="79">
        <f t="shared" si="2"/>
        <v>0</v>
      </c>
      <c r="S60" s="37"/>
      <c r="U60" s="37"/>
      <c r="V60" s="36"/>
      <c r="W60" s="37"/>
    </row>
    <row r="61" spans="2:23" x14ac:dyDescent="0.3">
      <c r="B61" s="21"/>
      <c r="C61" s="101"/>
      <c r="D61" s="87"/>
      <c r="L61" s="77">
        <f t="shared" si="0"/>
        <v>0</v>
      </c>
      <c r="M61" s="78" t="str">
        <f t="shared" si="1"/>
        <v>BE</v>
      </c>
      <c r="N61" s="79">
        <f t="shared" si="2"/>
        <v>0</v>
      </c>
      <c r="T61" s="37"/>
      <c r="U61" s="37"/>
      <c r="V61" s="36"/>
      <c r="W61" s="37"/>
    </row>
    <row r="62" spans="2:23" x14ac:dyDescent="0.3">
      <c r="B62" s="21"/>
      <c r="C62" s="101"/>
      <c r="D62" s="87"/>
      <c r="H62" s="21"/>
      <c r="L62" s="77">
        <f t="shared" si="0"/>
        <v>0</v>
      </c>
      <c r="M62" s="78" t="str">
        <f t="shared" si="1"/>
        <v>BE</v>
      </c>
      <c r="N62" s="79">
        <f t="shared" si="2"/>
        <v>0</v>
      </c>
      <c r="T62" s="37"/>
      <c r="U62" s="37"/>
      <c r="V62" s="36"/>
      <c r="W62" s="37"/>
    </row>
    <row r="63" spans="2:23" x14ac:dyDescent="0.3">
      <c r="B63" s="21"/>
      <c r="C63" s="101"/>
      <c r="D63" s="87"/>
      <c r="H63" s="21"/>
      <c r="L63" s="77">
        <f t="shared" si="0"/>
        <v>0</v>
      </c>
      <c r="M63" s="78" t="str">
        <f t="shared" si="1"/>
        <v>BE</v>
      </c>
      <c r="N63" s="79">
        <f t="shared" si="2"/>
        <v>0</v>
      </c>
      <c r="T63" s="37"/>
      <c r="U63" s="37"/>
      <c r="V63" s="36"/>
      <c r="W63" s="37"/>
    </row>
    <row r="64" spans="2:23" x14ac:dyDescent="0.3">
      <c r="B64" s="21"/>
      <c r="C64" s="101"/>
      <c r="D64" s="87"/>
      <c r="H64" s="21"/>
      <c r="L64" s="77">
        <f t="shared" si="0"/>
        <v>0</v>
      </c>
      <c r="M64" s="78" t="str">
        <f t="shared" si="1"/>
        <v>BE</v>
      </c>
      <c r="N64" s="79">
        <f t="shared" si="2"/>
        <v>0</v>
      </c>
      <c r="T64" s="37"/>
      <c r="U64" s="37"/>
      <c r="V64" s="36"/>
      <c r="W64" s="37"/>
    </row>
    <row r="65" spans="2:23" x14ac:dyDescent="0.3">
      <c r="B65" s="21"/>
      <c r="C65" s="101"/>
      <c r="D65" s="87"/>
      <c r="H65" s="21"/>
      <c r="L65" s="77">
        <f t="shared" si="0"/>
        <v>0</v>
      </c>
      <c r="M65" s="78" t="str">
        <f t="shared" si="1"/>
        <v>BE</v>
      </c>
      <c r="N65" s="79">
        <f t="shared" si="2"/>
        <v>0</v>
      </c>
      <c r="T65" s="37"/>
      <c r="U65" s="37"/>
      <c r="V65" s="36"/>
      <c r="W65" s="37"/>
    </row>
    <row r="66" spans="2:23" x14ac:dyDescent="0.3">
      <c r="B66" s="21"/>
      <c r="C66" s="101"/>
      <c r="D66" s="87"/>
      <c r="H66" s="21"/>
      <c r="L66" s="77">
        <f t="shared" si="0"/>
        <v>0</v>
      </c>
      <c r="M66" s="78" t="str">
        <f t="shared" si="1"/>
        <v>BE</v>
      </c>
      <c r="N66" s="79">
        <f t="shared" si="2"/>
        <v>0</v>
      </c>
      <c r="T66" s="37"/>
      <c r="U66" s="37"/>
      <c r="V66" s="36"/>
      <c r="W66" s="37"/>
    </row>
    <row r="67" spans="2:23" x14ac:dyDescent="0.3">
      <c r="B67" s="21"/>
      <c r="C67" s="101"/>
      <c r="D67" s="87"/>
      <c r="H67" s="21"/>
      <c r="L67" s="77">
        <f t="shared" ref="L67:L130" si="6">IF(ISBLANK(K67),IF(H67="Long",(J67-I67)*G67,(I67-J67)*G67),IF(H67="Long",(J67-I67)*(G67/2)+(K67-I67)*(G67/2),(I67-J67)*(G67/2)+(I67-K67)*(G67/2)))</f>
        <v>0</v>
      </c>
      <c r="M67" s="78" t="str">
        <f t="shared" ref="M67:M130" si="7">_xlfn.IFS(L67&gt;0,"win",L67&lt;0,"lose",L67=0,"BE")</f>
        <v>BE</v>
      </c>
      <c r="N67" s="79">
        <f t="shared" si="2"/>
        <v>0</v>
      </c>
      <c r="T67" s="37"/>
      <c r="U67" s="37"/>
      <c r="V67" s="36"/>
      <c r="W67" s="37"/>
    </row>
    <row r="68" spans="2:23" x14ac:dyDescent="0.3">
      <c r="B68" s="21"/>
      <c r="C68" s="101"/>
      <c r="D68" s="87"/>
      <c r="H68" s="21"/>
      <c r="L68" s="77">
        <f t="shared" si="6"/>
        <v>0</v>
      </c>
      <c r="M68" s="78" t="str">
        <f t="shared" si="7"/>
        <v>BE</v>
      </c>
      <c r="N68" s="79">
        <f t="shared" si="2"/>
        <v>0</v>
      </c>
      <c r="T68" s="37"/>
      <c r="U68" s="37"/>
      <c r="V68" s="36"/>
      <c r="W68" s="37"/>
    </row>
    <row r="69" spans="2:23" x14ac:dyDescent="0.3">
      <c r="B69" s="21"/>
      <c r="C69" s="101"/>
      <c r="D69" s="87"/>
      <c r="H69" s="21"/>
      <c r="L69" s="77">
        <f t="shared" si="6"/>
        <v>0</v>
      </c>
      <c r="M69" s="78" t="str">
        <f t="shared" si="7"/>
        <v>BE</v>
      </c>
      <c r="N69" s="79">
        <f t="shared" ref="N69:N132" si="8">L69+N68</f>
        <v>0</v>
      </c>
      <c r="T69" s="37"/>
      <c r="U69" s="37"/>
      <c r="V69" s="36"/>
      <c r="W69" s="37"/>
    </row>
    <row r="70" spans="2:23" x14ac:dyDescent="0.3">
      <c r="B70" s="21"/>
      <c r="C70" s="101"/>
      <c r="D70" s="87"/>
      <c r="H70" s="21"/>
      <c r="L70" s="77">
        <f t="shared" si="6"/>
        <v>0</v>
      </c>
      <c r="M70" s="78" t="str">
        <f t="shared" si="7"/>
        <v>BE</v>
      </c>
      <c r="N70" s="79">
        <f t="shared" si="8"/>
        <v>0</v>
      </c>
      <c r="T70" s="37"/>
      <c r="U70" s="37"/>
      <c r="V70" s="36"/>
      <c r="W70" s="37"/>
    </row>
    <row r="71" spans="2:23" x14ac:dyDescent="0.3">
      <c r="B71" s="21"/>
      <c r="D71" s="87"/>
      <c r="H71" s="21"/>
      <c r="L71" s="77">
        <f t="shared" si="6"/>
        <v>0</v>
      </c>
      <c r="M71" s="78" t="str">
        <f t="shared" si="7"/>
        <v>BE</v>
      </c>
      <c r="N71" s="79">
        <f t="shared" si="8"/>
        <v>0</v>
      </c>
      <c r="T71" s="37"/>
      <c r="U71" s="37"/>
      <c r="V71" s="36"/>
      <c r="W71" s="37"/>
    </row>
    <row r="72" spans="2:23" x14ac:dyDescent="0.3">
      <c r="B72" s="21"/>
      <c r="C72" s="101"/>
      <c r="D72" s="87"/>
      <c r="H72" s="21"/>
      <c r="L72" s="77">
        <f t="shared" si="6"/>
        <v>0</v>
      </c>
      <c r="M72" s="78" t="str">
        <f t="shared" si="7"/>
        <v>BE</v>
      </c>
      <c r="N72" s="79">
        <f t="shared" si="8"/>
        <v>0</v>
      </c>
      <c r="T72" s="37"/>
      <c r="U72" s="37"/>
      <c r="V72" s="36"/>
      <c r="W72" s="37"/>
    </row>
    <row r="73" spans="2:23" x14ac:dyDescent="0.3">
      <c r="B73" s="21"/>
      <c r="C73" s="101"/>
      <c r="D73" s="87"/>
      <c r="H73" s="21"/>
      <c r="L73" s="77">
        <f t="shared" si="6"/>
        <v>0</v>
      </c>
      <c r="M73" s="78" t="str">
        <f t="shared" si="7"/>
        <v>BE</v>
      </c>
      <c r="N73" s="79">
        <f t="shared" si="8"/>
        <v>0</v>
      </c>
      <c r="T73" s="37"/>
      <c r="U73" s="37"/>
      <c r="V73" s="36"/>
      <c r="W73" s="37"/>
    </row>
    <row r="74" spans="2:23" x14ac:dyDescent="0.3">
      <c r="B74" s="21"/>
      <c r="D74" s="87"/>
      <c r="H74" s="21"/>
      <c r="L74" s="77">
        <f t="shared" si="6"/>
        <v>0</v>
      </c>
      <c r="M74" s="78" t="str">
        <f t="shared" si="7"/>
        <v>BE</v>
      </c>
      <c r="N74" s="79">
        <f t="shared" si="8"/>
        <v>0</v>
      </c>
      <c r="T74" s="37"/>
      <c r="U74" s="37"/>
      <c r="V74" s="36"/>
      <c r="W74" s="37"/>
    </row>
    <row r="75" spans="2:23" x14ac:dyDescent="0.3">
      <c r="B75" s="21"/>
      <c r="C75" s="101"/>
      <c r="D75" s="87"/>
      <c r="H75" s="21"/>
      <c r="L75" s="77">
        <f t="shared" si="6"/>
        <v>0</v>
      </c>
      <c r="M75" s="78" t="str">
        <f t="shared" si="7"/>
        <v>BE</v>
      </c>
      <c r="N75" s="79">
        <f t="shared" si="8"/>
        <v>0</v>
      </c>
      <c r="T75" s="37"/>
      <c r="U75" s="37"/>
      <c r="V75" s="36"/>
      <c r="W75" s="37"/>
    </row>
    <row r="76" spans="2:23" x14ac:dyDescent="0.3">
      <c r="B76" s="21"/>
      <c r="C76" s="101"/>
      <c r="D76" s="87"/>
      <c r="H76" s="21"/>
      <c r="L76" s="77">
        <f t="shared" si="6"/>
        <v>0</v>
      </c>
      <c r="M76" s="78" t="str">
        <f t="shared" si="7"/>
        <v>BE</v>
      </c>
      <c r="N76" s="79">
        <f t="shared" si="8"/>
        <v>0</v>
      </c>
      <c r="T76" s="37"/>
      <c r="U76" s="37"/>
      <c r="V76" s="36"/>
      <c r="W76" s="37"/>
    </row>
    <row r="77" spans="2:23" x14ac:dyDescent="0.3">
      <c r="B77" s="21"/>
      <c r="C77" s="101"/>
      <c r="D77" s="87"/>
      <c r="H77" s="21"/>
      <c r="L77" s="77">
        <f t="shared" si="6"/>
        <v>0</v>
      </c>
      <c r="M77" s="78" t="str">
        <f t="shared" si="7"/>
        <v>BE</v>
      </c>
      <c r="N77" s="79">
        <f t="shared" si="8"/>
        <v>0</v>
      </c>
      <c r="T77" s="37"/>
      <c r="U77" s="37"/>
      <c r="V77" s="36"/>
      <c r="W77" s="37"/>
    </row>
    <row r="78" spans="2:23" x14ac:dyDescent="0.3">
      <c r="B78" s="21"/>
      <c r="C78" s="101"/>
      <c r="D78" s="87"/>
      <c r="H78" s="21"/>
      <c r="L78" s="77">
        <f t="shared" si="6"/>
        <v>0</v>
      </c>
      <c r="M78" s="78" t="str">
        <f t="shared" si="7"/>
        <v>BE</v>
      </c>
      <c r="N78" s="79">
        <f t="shared" si="8"/>
        <v>0</v>
      </c>
      <c r="T78" s="37"/>
      <c r="U78" s="37"/>
      <c r="V78" s="36"/>
      <c r="W78" s="37"/>
    </row>
    <row r="79" spans="2:23" x14ac:dyDescent="0.3">
      <c r="B79" s="21"/>
      <c r="D79" s="87"/>
      <c r="H79" s="21"/>
      <c r="L79" s="77">
        <f t="shared" si="6"/>
        <v>0</v>
      </c>
      <c r="M79" s="78" t="str">
        <f t="shared" si="7"/>
        <v>BE</v>
      </c>
      <c r="N79" s="79">
        <f t="shared" si="8"/>
        <v>0</v>
      </c>
      <c r="T79" s="37"/>
      <c r="U79" s="37"/>
      <c r="V79" s="36"/>
      <c r="W79" s="37"/>
    </row>
    <row r="80" spans="2:23" x14ac:dyDescent="0.3">
      <c r="B80" s="21"/>
      <c r="C80" s="101"/>
      <c r="D80" s="87"/>
      <c r="H80" s="21"/>
      <c r="L80" s="77">
        <f t="shared" si="6"/>
        <v>0</v>
      </c>
      <c r="M80" s="78" t="str">
        <f t="shared" si="7"/>
        <v>BE</v>
      </c>
      <c r="N80" s="79">
        <f t="shared" si="8"/>
        <v>0</v>
      </c>
      <c r="T80" s="37"/>
      <c r="U80" s="37"/>
      <c r="V80" s="36"/>
      <c r="W80" s="37"/>
    </row>
    <row r="81" spans="2:23" x14ac:dyDescent="0.3">
      <c r="B81" s="21"/>
      <c r="C81" s="101"/>
      <c r="D81" s="87"/>
      <c r="L81" s="77">
        <f t="shared" si="6"/>
        <v>0</v>
      </c>
      <c r="M81" s="78" t="str">
        <f t="shared" si="7"/>
        <v>BE</v>
      </c>
      <c r="N81" s="79">
        <f t="shared" si="8"/>
        <v>0</v>
      </c>
      <c r="T81" s="37"/>
      <c r="U81" s="37"/>
      <c r="V81" s="36"/>
      <c r="W81" s="37"/>
    </row>
    <row r="82" spans="2:23" x14ac:dyDescent="0.3">
      <c r="B82" s="21"/>
      <c r="C82" s="101"/>
      <c r="D82" s="87"/>
      <c r="L82" s="77">
        <f t="shared" si="6"/>
        <v>0</v>
      </c>
      <c r="M82" s="78" t="str">
        <f t="shared" si="7"/>
        <v>BE</v>
      </c>
      <c r="N82" s="79">
        <f t="shared" si="8"/>
        <v>0</v>
      </c>
      <c r="T82" s="37"/>
      <c r="U82" s="37"/>
      <c r="V82" s="36"/>
      <c r="W82" s="37"/>
    </row>
    <row r="83" spans="2:23" x14ac:dyDescent="0.3">
      <c r="B83" s="21"/>
      <c r="C83" s="101"/>
      <c r="D83" s="87"/>
      <c r="L83" s="77">
        <f t="shared" si="6"/>
        <v>0</v>
      </c>
      <c r="M83" s="78" t="str">
        <f t="shared" si="7"/>
        <v>BE</v>
      </c>
      <c r="N83" s="79">
        <f t="shared" si="8"/>
        <v>0</v>
      </c>
      <c r="T83" s="37"/>
      <c r="U83" s="37"/>
      <c r="V83" s="36"/>
      <c r="W83" s="37"/>
    </row>
    <row r="84" spans="2:23" x14ac:dyDescent="0.3">
      <c r="B84" s="21"/>
      <c r="C84" s="101"/>
      <c r="D84" s="87"/>
      <c r="L84" s="77">
        <f t="shared" si="6"/>
        <v>0</v>
      </c>
      <c r="M84" s="78" t="str">
        <f t="shared" si="7"/>
        <v>BE</v>
      </c>
      <c r="N84" s="79">
        <f t="shared" si="8"/>
        <v>0</v>
      </c>
      <c r="T84" s="37"/>
      <c r="U84" s="37"/>
      <c r="V84" s="36"/>
      <c r="W84" s="37"/>
    </row>
    <row r="85" spans="2:23" x14ac:dyDescent="0.3">
      <c r="B85" s="21"/>
      <c r="C85" s="101"/>
      <c r="D85" s="87"/>
      <c r="L85" s="77">
        <f t="shared" si="6"/>
        <v>0</v>
      </c>
      <c r="M85" s="78" t="str">
        <f t="shared" si="7"/>
        <v>BE</v>
      </c>
      <c r="N85" s="79">
        <f t="shared" si="8"/>
        <v>0</v>
      </c>
      <c r="T85" s="37"/>
      <c r="U85" s="37"/>
      <c r="V85" s="36"/>
      <c r="W85" s="37"/>
    </row>
    <row r="86" spans="2:23" x14ac:dyDescent="0.3">
      <c r="B86" s="21"/>
      <c r="C86" s="101"/>
      <c r="D86" s="87"/>
      <c r="L86" s="77">
        <f t="shared" si="6"/>
        <v>0</v>
      </c>
      <c r="M86" s="78" t="str">
        <f t="shared" si="7"/>
        <v>BE</v>
      </c>
      <c r="N86" s="79">
        <f t="shared" si="8"/>
        <v>0</v>
      </c>
      <c r="T86" s="37"/>
      <c r="U86" s="37"/>
      <c r="V86" s="36"/>
      <c r="W86" s="37"/>
    </row>
    <row r="87" spans="2:23" x14ac:dyDescent="0.3">
      <c r="B87" s="21"/>
      <c r="C87" s="101"/>
      <c r="D87" s="87"/>
      <c r="L87" s="77">
        <f t="shared" si="6"/>
        <v>0</v>
      </c>
      <c r="M87" s="78" t="str">
        <f t="shared" si="7"/>
        <v>BE</v>
      </c>
      <c r="N87" s="79">
        <f t="shared" si="8"/>
        <v>0</v>
      </c>
      <c r="T87" s="37"/>
      <c r="U87" s="37"/>
      <c r="V87" s="36"/>
      <c r="W87" s="37"/>
    </row>
    <row r="88" spans="2:23" x14ac:dyDescent="0.3">
      <c r="B88" s="21"/>
      <c r="C88" s="101"/>
      <c r="D88" s="87"/>
      <c r="L88" s="77">
        <f t="shared" si="6"/>
        <v>0</v>
      </c>
      <c r="M88" s="78" t="str">
        <f t="shared" si="7"/>
        <v>BE</v>
      </c>
      <c r="N88" s="79">
        <f t="shared" si="8"/>
        <v>0</v>
      </c>
      <c r="T88" s="37"/>
      <c r="U88" s="37"/>
      <c r="V88" s="36"/>
      <c r="W88" s="37"/>
    </row>
    <row r="89" spans="2:23" x14ac:dyDescent="0.3">
      <c r="B89" s="21"/>
      <c r="C89" s="101"/>
      <c r="D89" s="87"/>
      <c r="L89" s="77">
        <f t="shared" si="6"/>
        <v>0</v>
      </c>
      <c r="M89" s="78" t="str">
        <f t="shared" si="7"/>
        <v>BE</v>
      </c>
      <c r="N89" s="79">
        <f t="shared" si="8"/>
        <v>0</v>
      </c>
      <c r="T89" s="37"/>
      <c r="U89" s="37"/>
      <c r="V89" s="36"/>
      <c r="W89" s="37"/>
    </row>
    <row r="90" spans="2:23" x14ac:dyDescent="0.3">
      <c r="B90" s="21"/>
      <c r="C90" s="101"/>
      <c r="D90" s="87"/>
      <c r="L90" s="77">
        <f t="shared" si="6"/>
        <v>0</v>
      </c>
      <c r="M90" s="78" t="str">
        <f t="shared" si="7"/>
        <v>BE</v>
      </c>
      <c r="N90" s="79">
        <f t="shared" si="8"/>
        <v>0</v>
      </c>
      <c r="T90" s="37"/>
      <c r="U90" s="37"/>
      <c r="V90" s="36"/>
      <c r="W90" s="37"/>
    </row>
    <row r="91" spans="2:23" x14ac:dyDescent="0.3">
      <c r="B91" s="21"/>
      <c r="C91" s="101"/>
      <c r="D91" s="87"/>
      <c r="L91" s="77">
        <f t="shared" si="6"/>
        <v>0</v>
      </c>
      <c r="M91" s="78" t="str">
        <f t="shared" si="7"/>
        <v>BE</v>
      </c>
      <c r="N91" s="79">
        <f t="shared" si="8"/>
        <v>0</v>
      </c>
      <c r="T91" s="37"/>
      <c r="U91" s="37"/>
      <c r="V91" s="36"/>
      <c r="W91" s="37"/>
    </row>
    <row r="92" spans="2:23" x14ac:dyDescent="0.3">
      <c r="B92" s="21"/>
      <c r="C92" s="101"/>
      <c r="D92" s="87"/>
      <c r="L92" s="77">
        <f t="shared" si="6"/>
        <v>0</v>
      </c>
      <c r="M92" s="78" t="str">
        <f t="shared" si="7"/>
        <v>BE</v>
      </c>
      <c r="N92" s="79">
        <f t="shared" si="8"/>
        <v>0</v>
      </c>
      <c r="T92" s="37"/>
      <c r="U92" s="37"/>
      <c r="V92" s="36"/>
      <c r="W92" s="37"/>
    </row>
    <row r="93" spans="2:23" x14ac:dyDescent="0.3">
      <c r="B93" s="21"/>
      <c r="C93" s="101"/>
      <c r="D93" s="87"/>
      <c r="L93" s="77">
        <f t="shared" si="6"/>
        <v>0</v>
      </c>
      <c r="M93" s="78" t="str">
        <f t="shared" si="7"/>
        <v>BE</v>
      </c>
      <c r="N93" s="79">
        <f t="shared" si="8"/>
        <v>0</v>
      </c>
      <c r="T93" s="37"/>
      <c r="U93" s="37"/>
      <c r="V93" s="36"/>
      <c r="W93" s="37"/>
    </row>
    <row r="94" spans="2:23" x14ac:dyDescent="0.3">
      <c r="B94" s="21"/>
      <c r="C94" s="101"/>
      <c r="D94" s="87"/>
      <c r="L94" s="77">
        <f t="shared" si="6"/>
        <v>0</v>
      </c>
      <c r="M94" s="78" t="str">
        <f t="shared" si="7"/>
        <v>BE</v>
      </c>
      <c r="N94" s="79">
        <f t="shared" si="8"/>
        <v>0</v>
      </c>
      <c r="T94" s="37"/>
      <c r="U94" s="37"/>
      <c r="V94" s="36"/>
      <c r="W94" s="37"/>
    </row>
    <row r="95" spans="2:23" x14ac:dyDescent="0.3">
      <c r="B95" s="21"/>
      <c r="C95" s="101"/>
      <c r="D95" s="87"/>
      <c r="L95" s="77">
        <f t="shared" si="6"/>
        <v>0</v>
      </c>
      <c r="M95" s="78" t="str">
        <f t="shared" si="7"/>
        <v>BE</v>
      </c>
      <c r="N95" s="79">
        <f t="shared" si="8"/>
        <v>0</v>
      </c>
      <c r="T95" s="37"/>
      <c r="U95" s="37"/>
      <c r="V95" s="36"/>
      <c r="W95" s="37"/>
    </row>
    <row r="96" spans="2:23" x14ac:dyDescent="0.3">
      <c r="B96" s="21"/>
      <c r="C96" s="101"/>
      <c r="D96" s="87"/>
      <c r="L96" s="77">
        <f t="shared" si="6"/>
        <v>0</v>
      </c>
      <c r="M96" s="78" t="str">
        <f t="shared" si="7"/>
        <v>BE</v>
      </c>
      <c r="N96" s="79">
        <f t="shared" si="8"/>
        <v>0</v>
      </c>
      <c r="T96" s="37"/>
      <c r="U96" s="37"/>
      <c r="V96" s="36"/>
      <c r="W96" s="37"/>
    </row>
    <row r="97" spans="2:23" x14ac:dyDescent="0.3">
      <c r="B97" s="21"/>
      <c r="C97" s="101"/>
      <c r="D97" s="87"/>
      <c r="L97" s="77">
        <f t="shared" si="6"/>
        <v>0</v>
      </c>
      <c r="M97" s="78" t="str">
        <f t="shared" si="7"/>
        <v>BE</v>
      </c>
      <c r="N97" s="79">
        <f t="shared" si="8"/>
        <v>0</v>
      </c>
      <c r="T97" s="37"/>
      <c r="U97" s="37"/>
      <c r="V97" s="36"/>
      <c r="W97" s="37"/>
    </row>
    <row r="98" spans="2:23" x14ac:dyDescent="0.3">
      <c r="B98" s="21"/>
      <c r="C98" s="101"/>
      <c r="D98" s="87"/>
      <c r="L98" s="77">
        <f t="shared" si="6"/>
        <v>0</v>
      </c>
      <c r="M98" s="78" t="str">
        <f t="shared" si="7"/>
        <v>BE</v>
      </c>
      <c r="N98" s="79">
        <f t="shared" si="8"/>
        <v>0</v>
      </c>
      <c r="T98" s="37"/>
      <c r="U98" s="37"/>
      <c r="V98" s="36"/>
      <c r="W98" s="37"/>
    </row>
    <row r="99" spans="2:23" x14ac:dyDescent="0.3">
      <c r="B99" s="21"/>
      <c r="C99" s="101"/>
      <c r="D99" s="87"/>
      <c r="L99" s="77">
        <f t="shared" si="6"/>
        <v>0</v>
      </c>
      <c r="M99" s="78" t="str">
        <f t="shared" si="7"/>
        <v>BE</v>
      </c>
      <c r="N99" s="79">
        <f t="shared" si="8"/>
        <v>0</v>
      </c>
      <c r="T99" s="37"/>
      <c r="U99" s="37"/>
      <c r="V99" s="36"/>
      <c r="W99" s="37"/>
    </row>
    <row r="100" spans="2:23" x14ac:dyDescent="0.3">
      <c r="B100" s="21"/>
      <c r="C100" s="101"/>
      <c r="D100" s="87"/>
      <c r="L100" s="77">
        <f t="shared" si="6"/>
        <v>0</v>
      </c>
      <c r="M100" s="78" t="str">
        <f t="shared" si="7"/>
        <v>BE</v>
      </c>
      <c r="N100" s="79">
        <f t="shared" si="8"/>
        <v>0</v>
      </c>
      <c r="T100" s="37"/>
      <c r="U100" s="37"/>
      <c r="V100" s="36"/>
      <c r="W100" s="37"/>
    </row>
    <row r="101" spans="2:23" x14ac:dyDescent="0.3">
      <c r="B101" s="21"/>
      <c r="C101" s="101"/>
      <c r="D101" s="87"/>
      <c r="L101" s="77">
        <f t="shared" si="6"/>
        <v>0</v>
      </c>
      <c r="M101" s="78" t="str">
        <f t="shared" si="7"/>
        <v>BE</v>
      </c>
      <c r="N101" s="79">
        <f t="shared" si="8"/>
        <v>0</v>
      </c>
      <c r="T101" s="37"/>
      <c r="U101" s="37"/>
      <c r="V101" s="36"/>
      <c r="W101" s="37"/>
    </row>
    <row r="102" spans="2:23" x14ac:dyDescent="0.3">
      <c r="B102" s="21"/>
      <c r="C102" s="101"/>
      <c r="D102" s="87"/>
      <c r="L102" s="77">
        <f t="shared" si="6"/>
        <v>0</v>
      </c>
      <c r="M102" s="78" t="str">
        <f t="shared" si="7"/>
        <v>BE</v>
      </c>
      <c r="N102" s="79">
        <f t="shared" si="8"/>
        <v>0</v>
      </c>
    </row>
    <row r="103" spans="2:23" x14ac:dyDescent="0.3">
      <c r="B103" s="21"/>
      <c r="C103" s="101"/>
      <c r="D103" s="87"/>
      <c r="L103" s="77">
        <f t="shared" si="6"/>
        <v>0</v>
      </c>
      <c r="M103" s="78" t="str">
        <f t="shared" si="7"/>
        <v>BE</v>
      </c>
      <c r="N103" s="79">
        <f t="shared" si="8"/>
        <v>0</v>
      </c>
    </row>
    <row r="104" spans="2:23" x14ac:dyDescent="0.3">
      <c r="B104" s="21"/>
      <c r="C104" s="101"/>
      <c r="D104" s="87"/>
      <c r="L104" s="77">
        <f t="shared" si="6"/>
        <v>0</v>
      </c>
      <c r="M104" s="78" t="str">
        <f t="shared" si="7"/>
        <v>BE</v>
      </c>
      <c r="N104" s="79">
        <f t="shared" si="8"/>
        <v>0</v>
      </c>
    </row>
    <row r="105" spans="2:23" x14ac:dyDescent="0.3">
      <c r="B105" s="21"/>
      <c r="C105" s="101"/>
      <c r="D105" s="87"/>
      <c r="L105" s="77">
        <f t="shared" si="6"/>
        <v>0</v>
      </c>
      <c r="M105" s="78" t="str">
        <f t="shared" si="7"/>
        <v>BE</v>
      </c>
      <c r="N105" s="79">
        <f t="shared" si="8"/>
        <v>0</v>
      </c>
    </row>
    <row r="106" spans="2:23" x14ac:dyDescent="0.3">
      <c r="B106" s="21"/>
      <c r="C106" s="101"/>
      <c r="D106" s="87"/>
      <c r="L106" s="77">
        <f t="shared" si="6"/>
        <v>0</v>
      </c>
      <c r="M106" s="78" t="str">
        <f t="shared" si="7"/>
        <v>BE</v>
      </c>
      <c r="N106" s="79">
        <f t="shared" si="8"/>
        <v>0</v>
      </c>
    </row>
    <row r="107" spans="2:23" x14ac:dyDescent="0.3">
      <c r="B107" s="21"/>
      <c r="C107" s="101"/>
      <c r="D107" s="87"/>
      <c r="L107" s="77">
        <f t="shared" si="6"/>
        <v>0</v>
      </c>
      <c r="M107" s="78" t="str">
        <f t="shared" si="7"/>
        <v>BE</v>
      </c>
      <c r="N107" s="79">
        <f t="shared" si="8"/>
        <v>0</v>
      </c>
    </row>
    <row r="108" spans="2:23" x14ac:dyDescent="0.3">
      <c r="B108" s="21"/>
      <c r="C108" s="101"/>
      <c r="D108" s="87"/>
      <c r="L108" s="77">
        <f t="shared" si="6"/>
        <v>0</v>
      </c>
      <c r="M108" s="78" t="str">
        <f t="shared" si="7"/>
        <v>BE</v>
      </c>
      <c r="N108" s="79">
        <f t="shared" si="8"/>
        <v>0</v>
      </c>
    </row>
    <row r="109" spans="2:23" x14ac:dyDescent="0.3">
      <c r="B109" s="21"/>
      <c r="C109" s="101"/>
      <c r="D109" s="87"/>
      <c r="L109" s="77">
        <f t="shared" si="6"/>
        <v>0</v>
      </c>
      <c r="M109" s="78" t="str">
        <f t="shared" si="7"/>
        <v>BE</v>
      </c>
      <c r="N109" s="79">
        <f t="shared" si="8"/>
        <v>0</v>
      </c>
    </row>
    <row r="110" spans="2:23" x14ac:dyDescent="0.3">
      <c r="B110" s="21"/>
      <c r="C110" s="101"/>
      <c r="D110" s="87"/>
      <c r="L110" s="77">
        <f t="shared" si="6"/>
        <v>0</v>
      </c>
      <c r="M110" s="78" t="str">
        <f t="shared" si="7"/>
        <v>BE</v>
      </c>
      <c r="N110" s="79">
        <f t="shared" si="8"/>
        <v>0</v>
      </c>
    </row>
    <row r="111" spans="2:23" x14ac:dyDescent="0.3">
      <c r="B111" s="21"/>
      <c r="C111" s="101"/>
      <c r="D111" s="87"/>
      <c r="L111" s="77">
        <f t="shared" si="6"/>
        <v>0</v>
      </c>
      <c r="M111" s="78" t="str">
        <f t="shared" si="7"/>
        <v>BE</v>
      </c>
      <c r="N111" s="79">
        <f t="shared" si="8"/>
        <v>0</v>
      </c>
    </row>
    <row r="112" spans="2:23" x14ac:dyDescent="0.3">
      <c r="B112" s="21"/>
      <c r="C112" s="101"/>
      <c r="D112" s="87"/>
      <c r="L112" s="77">
        <f t="shared" si="6"/>
        <v>0</v>
      </c>
      <c r="M112" s="78" t="str">
        <f t="shared" si="7"/>
        <v>BE</v>
      </c>
      <c r="N112" s="79">
        <f t="shared" si="8"/>
        <v>0</v>
      </c>
    </row>
    <row r="113" spans="2:14" x14ac:dyDescent="0.3">
      <c r="B113" s="21"/>
      <c r="C113" s="101"/>
      <c r="D113" s="87"/>
      <c r="L113" s="77">
        <f t="shared" si="6"/>
        <v>0</v>
      </c>
      <c r="M113" s="78" t="str">
        <f t="shared" si="7"/>
        <v>BE</v>
      </c>
      <c r="N113" s="79">
        <f t="shared" si="8"/>
        <v>0</v>
      </c>
    </row>
    <row r="114" spans="2:14" x14ac:dyDescent="0.3">
      <c r="B114" s="21"/>
      <c r="C114" s="101"/>
      <c r="D114" s="87"/>
      <c r="L114" s="77">
        <f t="shared" si="6"/>
        <v>0</v>
      </c>
      <c r="M114" s="78" t="str">
        <f t="shared" si="7"/>
        <v>BE</v>
      </c>
      <c r="N114" s="79">
        <f t="shared" si="8"/>
        <v>0</v>
      </c>
    </row>
    <row r="115" spans="2:14" x14ac:dyDescent="0.3">
      <c r="B115" s="21"/>
      <c r="C115" s="101"/>
      <c r="D115" s="87"/>
      <c r="L115" s="77">
        <f t="shared" si="6"/>
        <v>0</v>
      </c>
      <c r="M115" s="78" t="str">
        <f t="shared" si="7"/>
        <v>BE</v>
      </c>
      <c r="N115" s="79">
        <f t="shared" si="8"/>
        <v>0</v>
      </c>
    </row>
    <row r="116" spans="2:14" x14ac:dyDescent="0.3">
      <c r="B116" s="21"/>
      <c r="C116" s="101"/>
      <c r="D116" s="87"/>
      <c r="L116" s="77">
        <f t="shared" si="6"/>
        <v>0</v>
      </c>
      <c r="M116" s="78" t="str">
        <f t="shared" si="7"/>
        <v>BE</v>
      </c>
      <c r="N116" s="79">
        <f t="shared" si="8"/>
        <v>0</v>
      </c>
    </row>
    <row r="117" spans="2:14" x14ac:dyDescent="0.3">
      <c r="B117" s="21"/>
      <c r="C117" s="101"/>
      <c r="D117" s="87"/>
      <c r="L117" s="77">
        <f t="shared" si="6"/>
        <v>0</v>
      </c>
      <c r="M117" s="78" t="str">
        <f t="shared" si="7"/>
        <v>BE</v>
      </c>
      <c r="N117" s="79">
        <f t="shared" si="8"/>
        <v>0</v>
      </c>
    </row>
    <row r="118" spans="2:14" x14ac:dyDescent="0.3">
      <c r="B118" s="21"/>
      <c r="C118" s="101"/>
      <c r="D118" s="87"/>
      <c r="L118" s="77">
        <f t="shared" si="6"/>
        <v>0</v>
      </c>
      <c r="M118" s="78" t="str">
        <f t="shared" si="7"/>
        <v>BE</v>
      </c>
      <c r="N118" s="79">
        <f t="shared" si="8"/>
        <v>0</v>
      </c>
    </row>
    <row r="119" spans="2:14" x14ac:dyDescent="0.3">
      <c r="B119" s="21"/>
      <c r="C119" s="101"/>
      <c r="D119" s="87"/>
      <c r="H119" s="21"/>
      <c r="L119" s="77">
        <f t="shared" si="6"/>
        <v>0</v>
      </c>
      <c r="M119" s="78" t="str">
        <f t="shared" si="7"/>
        <v>BE</v>
      </c>
      <c r="N119" s="79">
        <f t="shared" si="8"/>
        <v>0</v>
      </c>
    </row>
    <row r="120" spans="2:14" x14ac:dyDescent="0.3">
      <c r="B120" s="21"/>
      <c r="C120" s="101"/>
      <c r="D120" s="87"/>
      <c r="H120" s="21"/>
      <c r="L120" s="77">
        <f t="shared" si="6"/>
        <v>0</v>
      </c>
      <c r="M120" s="78" t="str">
        <f t="shared" si="7"/>
        <v>BE</v>
      </c>
      <c r="N120" s="79">
        <f t="shared" si="8"/>
        <v>0</v>
      </c>
    </row>
    <row r="121" spans="2:14" x14ac:dyDescent="0.3">
      <c r="B121" s="21"/>
      <c r="C121" s="101"/>
      <c r="D121" s="87"/>
      <c r="H121" s="21"/>
      <c r="L121" s="77">
        <f t="shared" si="6"/>
        <v>0</v>
      </c>
      <c r="M121" s="78" t="str">
        <f t="shared" si="7"/>
        <v>BE</v>
      </c>
      <c r="N121" s="79">
        <f t="shared" si="8"/>
        <v>0</v>
      </c>
    </row>
    <row r="122" spans="2:14" x14ac:dyDescent="0.3">
      <c r="B122" s="21"/>
      <c r="C122" s="101"/>
      <c r="D122" s="87"/>
      <c r="H122" s="21"/>
      <c r="L122" s="77">
        <f t="shared" si="6"/>
        <v>0</v>
      </c>
      <c r="M122" s="78" t="str">
        <f t="shared" si="7"/>
        <v>BE</v>
      </c>
      <c r="N122" s="79">
        <f t="shared" si="8"/>
        <v>0</v>
      </c>
    </row>
    <row r="123" spans="2:14" x14ac:dyDescent="0.3">
      <c r="B123" s="21"/>
      <c r="C123" s="101"/>
      <c r="D123" s="87"/>
      <c r="H123" s="21"/>
      <c r="L123" s="77">
        <f t="shared" si="6"/>
        <v>0</v>
      </c>
      <c r="M123" s="78" t="str">
        <f t="shared" si="7"/>
        <v>BE</v>
      </c>
      <c r="N123" s="79">
        <f t="shared" si="8"/>
        <v>0</v>
      </c>
    </row>
    <row r="124" spans="2:14" x14ac:dyDescent="0.3">
      <c r="B124" s="21"/>
      <c r="C124" s="101"/>
      <c r="D124" s="87"/>
      <c r="H124" s="21"/>
      <c r="L124" s="77">
        <f t="shared" si="6"/>
        <v>0</v>
      </c>
      <c r="M124" s="78" t="str">
        <f t="shared" si="7"/>
        <v>BE</v>
      </c>
      <c r="N124" s="79">
        <f t="shared" si="8"/>
        <v>0</v>
      </c>
    </row>
    <row r="125" spans="2:14" x14ac:dyDescent="0.3">
      <c r="B125" s="21"/>
      <c r="C125" s="101"/>
      <c r="D125" s="87"/>
      <c r="H125" s="21"/>
      <c r="L125" s="77">
        <f t="shared" si="6"/>
        <v>0</v>
      </c>
      <c r="M125" s="78" t="str">
        <f t="shared" si="7"/>
        <v>BE</v>
      </c>
      <c r="N125" s="79">
        <f t="shared" si="8"/>
        <v>0</v>
      </c>
    </row>
    <row r="126" spans="2:14" x14ac:dyDescent="0.3">
      <c r="B126" s="21"/>
      <c r="C126" s="101"/>
      <c r="D126" s="87"/>
      <c r="H126" s="21"/>
      <c r="L126" s="77">
        <f t="shared" si="6"/>
        <v>0</v>
      </c>
      <c r="M126" s="78" t="str">
        <f t="shared" si="7"/>
        <v>BE</v>
      </c>
      <c r="N126" s="79">
        <f t="shared" si="8"/>
        <v>0</v>
      </c>
    </row>
    <row r="127" spans="2:14" x14ac:dyDescent="0.3">
      <c r="B127" s="21"/>
      <c r="C127" s="101"/>
      <c r="D127" s="87"/>
      <c r="H127" s="21"/>
      <c r="L127" s="77">
        <f t="shared" si="6"/>
        <v>0</v>
      </c>
      <c r="M127" s="78" t="str">
        <f t="shared" si="7"/>
        <v>BE</v>
      </c>
      <c r="N127" s="79">
        <f t="shared" si="8"/>
        <v>0</v>
      </c>
    </row>
    <row r="128" spans="2:14" x14ac:dyDescent="0.3">
      <c r="B128" s="21"/>
      <c r="C128" s="101"/>
      <c r="D128" s="87"/>
      <c r="H128" s="21"/>
      <c r="L128" s="77">
        <f t="shared" si="6"/>
        <v>0</v>
      </c>
      <c r="M128" s="78" t="str">
        <f t="shared" si="7"/>
        <v>BE</v>
      </c>
      <c r="N128" s="79">
        <f t="shared" si="8"/>
        <v>0</v>
      </c>
    </row>
    <row r="129" spans="2:14" x14ac:dyDescent="0.3">
      <c r="B129" s="21"/>
      <c r="C129" s="101"/>
      <c r="D129" s="87"/>
      <c r="H129" s="21"/>
      <c r="L129" s="77">
        <f t="shared" si="6"/>
        <v>0</v>
      </c>
      <c r="M129" s="78" t="str">
        <f t="shared" si="7"/>
        <v>BE</v>
      </c>
      <c r="N129" s="79">
        <f t="shared" si="8"/>
        <v>0</v>
      </c>
    </row>
    <row r="130" spans="2:14" x14ac:dyDescent="0.3">
      <c r="B130" s="21"/>
      <c r="C130" s="101"/>
      <c r="D130" s="87"/>
      <c r="H130" s="21"/>
      <c r="L130" s="77">
        <f t="shared" si="6"/>
        <v>0</v>
      </c>
      <c r="M130" s="78" t="str">
        <f t="shared" si="7"/>
        <v>BE</v>
      </c>
      <c r="N130" s="79">
        <f t="shared" si="8"/>
        <v>0</v>
      </c>
    </row>
    <row r="131" spans="2:14" x14ac:dyDescent="0.3">
      <c r="B131" s="21"/>
      <c r="C131" s="101"/>
      <c r="D131" s="87"/>
      <c r="H131" s="21"/>
      <c r="L131" s="77">
        <f t="shared" ref="L131:L194" si="9">IF(ISBLANK(K131),IF(H131="Long",(J131-I131)*G131,(I131-J131)*G131),IF(H131="Long",(J131-I131)*(G131/2)+(K131-I131)*(G131/2),(I131-J131)*(G131/2)+(I131-K131)*(G131/2)))</f>
        <v>0</v>
      </c>
      <c r="M131" s="78" t="str">
        <f t="shared" ref="M131:M194" si="10">_xlfn.IFS(L131&gt;0,"win",L131&lt;0,"lose",L131=0,"BE")</f>
        <v>BE</v>
      </c>
      <c r="N131" s="79">
        <f t="shared" si="8"/>
        <v>0</v>
      </c>
    </row>
    <row r="132" spans="2:14" x14ac:dyDescent="0.3">
      <c r="B132" s="21"/>
      <c r="C132" s="101"/>
      <c r="D132" s="87"/>
      <c r="H132" s="21"/>
      <c r="L132" s="77">
        <f t="shared" si="9"/>
        <v>0</v>
      </c>
      <c r="M132" s="78" t="str">
        <f t="shared" si="10"/>
        <v>BE</v>
      </c>
      <c r="N132" s="79">
        <f t="shared" si="8"/>
        <v>0</v>
      </c>
    </row>
    <row r="133" spans="2:14" x14ac:dyDescent="0.3">
      <c r="B133" s="21"/>
      <c r="C133" s="101"/>
      <c r="D133" s="87"/>
      <c r="H133" s="21"/>
      <c r="L133" s="77">
        <f t="shared" si="9"/>
        <v>0</v>
      </c>
      <c r="M133" s="78" t="str">
        <f t="shared" si="10"/>
        <v>BE</v>
      </c>
      <c r="N133" s="79">
        <f t="shared" ref="N133:N196" si="11">L133+N132</f>
        <v>0</v>
      </c>
    </row>
    <row r="134" spans="2:14" x14ac:dyDescent="0.3">
      <c r="B134" s="21"/>
      <c r="C134" s="101"/>
      <c r="D134" s="87"/>
      <c r="H134" s="21"/>
      <c r="L134" s="77">
        <f t="shared" si="9"/>
        <v>0</v>
      </c>
      <c r="M134" s="78" t="str">
        <f t="shared" si="10"/>
        <v>BE</v>
      </c>
      <c r="N134" s="79">
        <f t="shared" si="11"/>
        <v>0</v>
      </c>
    </row>
    <row r="135" spans="2:14" x14ac:dyDescent="0.3">
      <c r="B135" s="21"/>
      <c r="C135" s="101"/>
      <c r="D135" s="87"/>
      <c r="H135" s="21"/>
      <c r="L135" s="77">
        <f t="shared" si="9"/>
        <v>0</v>
      </c>
      <c r="M135" s="78" t="str">
        <f t="shared" si="10"/>
        <v>BE</v>
      </c>
      <c r="N135" s="79">
        <f t="shared" si="11"/>
        <v>0</v>
      </c>
    </row>
    <row r="136" spans="2:14" x14ac:dyDescent="0.3">
      <c r="B136" s="21"/>
      <c r="C136" s="101"/>
      <c r="D136" s="87"/>
      <c r="H136" s="21"/>
      <c r="L136" s="77">
        <f t="shared" si="9"/>
        <v>0</v>
      </c>
      <c r="M136" s="78" t="str">
        <f t="shared" si="10"/>
        <v>BE</v>
      </c>
      <c r="N136" s="79">
        <f t="shared" si="11"/>
        <v>0</v>
      </c>
    </row>
    <row r="137" spans="2:14" x14ac:dyDescent="0.3">
      <c r="B137" s="21"/>
      <c r="C137" s="101"/>
      <c r="D137" s="87"/>
      <c r="H137" s="21"/>
      <c r="L137" s="77">
        <f t="shared" si="9"/>
        <v>0</v>
      </c>
      <c r="M137" s="78" t="str">
        <f t="shared" si="10"/>
        <v>BE</v>
      </c>
      <c r="N137" s="79">
        <f t="shared" si="11"/>
        <v>0</v>
      </c>
    </row>
    <row r="138" spans="2:14" x14ac:dyDescent="0.3">
      <c r="B138" s="21"/>
      <c r="C138" s="101"/>
      <c r="D138" s="87"/>
      <c r="H138" s="21"/>
      <c r="L138" s="77">
        <f t="shared" si="9"/>
        <v>0</v>
      </c>
      <c r="M138" s="78" t="str">
        <f t="shared" si="10"/>
        <v>BE</v>
      </c>
      <c r="N138" s="79">
        <f t="shared" si="11"/>
        <v>0</v>
      </c>
    </row>
    <row r="139" spans="2:14" x14ac:dyDescent="0.3">
      <c r="B139" s="21"/>
      <c r="C139" s="101"/>
      <c r="D139" s="87"/>
      <c r="H139" s="21"/>
      <c r="L139" s="77">
        <f t="shared" si="9"/>
        <v>0</v>
      </c>
      <c r="M139" s="78" t="str">
        <f t="shared" si="10"/>
        <v>BE</v>
      </c>
      <c r="N139" s="79">
        <f t="shared" si="11"/>
        <v>0</v>
      </c>
    </row>
    <row r="140" spans="2:14" x14ac:dyDescent="0.3">
      <c r="B140" s="21"/>
      <c r="C140" s="101"/>
      <c r="D140" s="87"/>
      <c r="H140" s="21"/>
      <c r="L140" s="77">
        <f t="shared" si="9"/>
        <v>0</v>
      </c>
      <c r="M140" s="78" t="str">
        <f t="shared" si="10"/>
        <v>BE</v>
      </c>
      <c r="N140" s="79">
        <f t="shared" si="11"/>
        <v>0</v>
      </c>
    </row>
    <row r="141" spans="2:14" x14ac:dyDescent="0.3">
      <c r="B141" s="21"/>
      <c r="C141" s="101"/>
      <c r="D141" s="87"/>
      <c r="H141" s="21"/>
      <c r="L141" s="77">
        <f t="shared" si="9"/>
        <v>0</v>
      </c>
      <c r="M141" s="78" t="str">
        <f t="shared" si="10"/>
        <v>BE</v>
      </c>
      <c r="N141" s="79">
        <f t="shared" si="11"/>
        <v>0</v>
      </c>
    </row>
    <row r="142" spans="2:14" x14ac:dyDescent="0.3">
      <c r="B142" s="21"/>
      <c r="C142" s="101"/>
      <c r="D142" s="87"/>
      <c r="H142" s="21"/>
      <c r="L142" s="77">
        <f t="shared" si="9"/>
        <v>0</v>
      </c>
      <c r="M142" s="78" t="str">
        <f t="shared" si="10"/>
        <v>BE</v>
      </c>
      <c r="N142" s="79">
        <f t="shared" si="11"/>
        <v>0</v>
      </c>
    </row>
    <row r="143" spans="2:14" x14ac:dyDescent="0.3">
      <c r="B143" s="21"/>
      <c r="C143" s="101"/>
      <c r="D143" s="87"/>
      <c r="H143" s="21"/>
      <c r="L143" s="77">
        <f t="shared" si="9"/>
        <v>0</v>
      </c>
      <c r="M143" s="78" t="str">
        <f t="shared" si="10"/>
        <v>BE</v>
      </c>
      <c r="N143" s="79">
        <f t="shared" si="11"/>
        <v>0</v>
      </c>
    </row>
    <row r="144" spans="2:14" x14ac:dyDescent="0.3">
      <c r="B144" s="21"/>
      <c r="C144" s="101"/>
      <c r="D144" s="87"/>
      <c r="H144" s="21"/>
      <c r="L144" s="77">
        <f t="shared" si="9"/>
        <v>0</v>
      </c>
      <c r="M144" s="78" t="str">
        <f t="shared" si="10"/>
        <v>BE</v>
      </c>
      <c r="N144" s="79">
        <f t="shared" si="11"/>
        <v>0</v>
      </c>
    </row>
    <row r="145" spans="2:14" x14ac:dyDescent="0.3">
      <c r="B145" s="21"/>
      <c r="C145" s="101"/>
      <c r="D145" s="87"/>
      <c r="H145" s="21"/>
      <c r="L145" s="77">
        <f t="shared" si="9"/>
        <v>0</v>
      </c>
      <c r="M145" s="78" t="str">
        <f t="shared" si="10"/>
        <v>BE</v>
      </c>
      <c r="N145" s="79">
        <f t="shared" si="11"/>
        <v>0</v>
      </c>
    </row>
    <row r="146" spans="2:14" x14ac:dyDescent="0.3">
      <c r="B146" s="21"/>
      <c r="C146" s="101"/>
      <c r="D146" s="87"/>
      <c r="H146" s="21"/>
      <c r="L146" s="77">
        <f t="shared" si="9"/>
        <v>0</v>
      </c>
      <c r="M146" s="78" t="str">
        <f t="shared" si="10"/>
        <v>BE</v>
      </c>
      <c r="N146" s="79">
        <f t="shared" si="11"/>
        <v>0</v>
      </c>
    </row>
    <row r="147" spans="2:14" x14ac:dyDescent="0.3">
      <c r="B147" s="21"/>
      <c r="C147" s="101"/>
      <c r="D147" s="87"/>
      <c r="H147" s="21"/>
      <c r="L147" s="77">
        <f t="shared" si="9"/>
        <v>0</v>
      </c>
      <c r="M147" s="78" t="str">
        <f t="shared" si="10"/>
        <v>BE</v>
      </c>
      <c r="N147" s="79">
        <f t="shared" si="11"/>
        <v>0</v>
      </c>
    </row>
    <row r="148" spans="2:14" x14ac:dyDescent="0.3">
      <c r="B148" s="21"/>
      <c r="C148" s="101"/>
      <c r="D148" s="87"/>
      <c r="H148" s="21"/>
      <c r="L148" s="77">
        <f t="shared" si="9"/>
        <v>0</v>
      </c>
      <c r="M148" s="78" t="str">
        <f t="shared" si="10"/>
        <v>BE</v>
      </c>
      <c r="N148" s="79">
        <f t="shared" si="11"/>
        <v>0</v>
      </c>
    </row>
    <row r="149" spans="2:14" x14ac:dyDescent="0.3">
      <c r="B149" s="21"/>
      <c r="C149" s="101"/>
      <c r="D149" s="87"/>
      <c r="H149" s="21"/>
      <c r="L149" s="77">
        <f t="shared" si="9"/>
        <v>0</v>
      </c>
      <c r="M149" s="78" t="str">
        <f t="shared" si="10"/>
        <v>BE</v>
      </c>
      <c r="N149" s="79">
        <f t="shared" si="11"/>
        <v>0</v>
      </c>
    </row>
    <row r="150" spans="2:14" x14ac:dyDescent="0.3">
      <c r="B150" s="21"/>
      <c r="C150" s="101"/>
      <c r="D150" s="87"/>
      <c r="H150" s="21"/>
      <c r="L150" s="77">
        <f t="shared" si="9"/>
        <v>0</v>
      </c>
      <c r="M150" s="78" t="str">
        <f t="shared" si="10"/>
        <v>BE</v>
      </c>
      <c r="N150" s="79">
        <f t="shared" si="11"/>
        <v>0</v>
      </c>
    </row>
    <row r="151" spans="2:14" x14ac:dyDescent="0.3">
      <c r="B151" s="21"/>
      <c r="C151" s="101"/>
      <c r="D151" s="87"/>
      <c r="L151" s="77">
        <f t="shared" si="9"/>
        <v>0</v>
      </c>
      <c r="M151" s="78" t="str">
        <f t="shared" si="10"/>
        <v>BE</v>
      </c>
      <c r="N151" s="79">
        <f t="shared" si="11"/>
        <v>0</v>
      </c>
    </row>
    <row r="152" spans="2:14" x14ac:dyDescent="0.3">
      <c r="B152" s="21"/>
      <c r="C152" s="101"/>
      <c r="D152" s="87"/>
      <c r="L152" s="77">
        <f t="shared" si="9"/>
        <v>0</v>
      </c>
      <c r="M152" s="78" t="str">
        <f t="shared" si="10"/>
        <v>BE</v>
      </c>
      <c r="N152" s="79">
        <f t="shared" si="11"/>
        <v>0</v>
      </c>
    </row>
    <row r="153" spans="2:14" x14ac:dyDescent="0.3">
      <c r="B153" s="21"/>
      <c r="C153" s="101"/>
      <c r="D153" s="87"/>
      <c r="L153" s="77">
        <f t="shared" si="9"/>
        <v>0</v>
      </c>
      <c r="M153" s="78" t="str">
        <f t="shared" si="10"/>
        <v>BE</v>
      </c>
      <c r="N153" s="79">
        <f t="shared" si="11"/>
        <v>0</v>
      </c>
    </row>
    <row r="154" spans="2:14" x14ac:dyDescent="0.3">
      <c r="B154" s="21"/>
      <c r="C154" s="101"/>
      <c r="D154" s="87"/>
      <c r="L154" s="77">
        <f t="shared" si="9"/>
        <v>0</v>
      </c>
      <c r="M154" s="78" t="str">
        <f t="shared" si="10"/>
        <v>BE</v>
      </c>
      <c r="N154" s="79">
        <f t="shared" si="11"/>
        <v>0</v>
      </c>
    </row>
    <row r="155" spans="2:14" x14ac:dyDescent="0.3">
      <c r="B155" s="21"/>
      <c r="C155" s="101"/>
      <c r="D155" s="87"/>
      <c r="L155" s="77">
        <f t="shared" si="9"/>
        <v>0</v>
      </c>
      <c r="M155" s="78" t="str">
        <f t="shared" si="10"/>
        <v>BE</v>
      </c>
      <c r="N155" s="79">
        <f t="shared" si="11"/>
        <v>0</v>
      </c>
    </row>
    <row r="156" spans="2:14" x14ac:dyDescent="0.3">
      <c r="B156" s="21"/>
      <c r="C156" s="101"/>
      <c r="D156" s="87"/>
      <c r="L156" s="77">
        <f t="shared" si="9"/>
        <v>0</v>
      </c>
      <c r="M156" s="78" t="str">
        <f t="shared" si="10"/>
        <v>BE</v>
      </c>
      <c r="N156" s="79">
        <f t="shared" si="11"/>
        <v>0</v>
      </c>
    </row>
    <row r="157" spans="2:14" x14ac:dyDescent="0.3">
      <c r="B157" s="21"/>
      <c r="C157" s="101"/>
      <c r="D157" s="87"/>
      <c r="L157" s="77">
        <f t="shared" si="9"/>
        <v>0</v>
      </c>
      <c r="M157" s="78" t="str">
        <f t="shared" si="10"/>
        <v>BE</v>
      </c>
      <c r="N157" s="79">
        <f t="shared" si="11"/>
        <v>0</v>
      </c>
    </row>
    <row r="158" spans="2:14" x14ac:dyDescent="0.3">
      <c r="B158" s="21"/>
      <c r="C158" s="101"/>
      <c r="D158" s="87"/>
      <c r="L158" s="77">
        <f t="shared" si="9"/>
        <v>0</v>
      </c>
      <c r="M158" s="78" t="str">
        <f t="shared" si="10"/>
        <v>BE</v>
      </c>
      <c r="N158" s="79">
        <f t="shared" si="11"/>
        <v>0</v>
      </c>
    </row>
    <row r="159" spans="2:14" x14ac:dyDescent="0.3">
      <c r="B159" s="21"/>
      <c r="C159" s="101"/>
      <c r="D159" s="87"/>
      <c r="L159" s="77">
        <f t="shared" si="9"/>
        <v>0</v>
      </c>
      <c r="M159" s="78" t="str">
        <f t="shared" si="10"/>
        <v>BE</v>
      </c>
      <c r="N159" s="79">
        <f t="shared" si="11"/>
        <v>0</v>
      </c>
    </row>
    <row r="160" spans="2:14" x14ac:dyDescent="0.3">
      <c r="B160" s="21"/>
      <c r="C160" s="101"/>
      <c r="D160" s="87"/>
      <c r="L160" s="77">
        <f t="shared" si="9"/>
        <v>0</v>
      </c>
      <c r="M160" s="78" t="str">
        <f t="shared" si="10"/>
        <v>BE</v>
      </c>
      <c r="N160" s="79">
        <f t="shared" si="11"/>
        <v>0</v>
      </c>
    </row>
    <row r="161" spans="2:14" x14ac:dyDescent="0.3">
      <c r="B161" s="21"/>
      <c r="C161" s="101"/>
      <c r="D161" s="87"/>
      <c r="L161" s="77">
        <f t="shared" si="9"/>
        <v>0</v>
      </c>
      <c r="M161" s="78" t="str">
        <f t="shared" si="10"/>
        <v>BE</v>
      </c>
      <c r="N161" s="79">
        <f t="shared" si="11"/>
        <v>0</v>
      </c>
    </row>
    <row r="162" spans="2:14" x14ac:dyDescent="0.3">
      <c r="B162" s="21"/>
      <c r="C162" s="101"/>
      <c r="D162" s="87"/>
      <c r="L162" s="77">
        <f t="shared" si="9"/>
        <v>0</v>
      </c>
      <c r="M162" s="78" t="str">
        <f t="shared" si="10"/>
        <v>BE</v>
      </c>
      <c r="N162" s="79">
        <f t="shared" si="11"/>
        <v>0</v>
      </c>
    </row>
    <row r="163" spans="2:14" x14ac:dyDescent="0.3">
      <c r="B163" s="21"/>
      <c r="C163" s="101"/>
      <c r="D163" s="87"/>
      <c r="L163" s="77">
        <f t="shared" si="9"/>
        <v>0</v>
      </c>
      <c r="M163" s="78" t="str">
        <f t="shared" si="10"/>
        <v>BE</v>
      </c>
      <c r="N163" s="79">
        <f t="shared" si="11"/>
        <v>0</v>
      </c>
    </row>
    <row r="164" spans="2:14" x14ac:dyDescent="0.3">
      <c r="B164" s="21"/>
      <c r="C164" s="101"/>
      <c r="D164" s="87"/>
      <c r="L164" s="77">
        <f t="shared" si="9"/>
        <v>0</v>
      </c>
      <c r="M164" s="78" t="str">
        <f t="shared" si="10"/>
        <v>BE</v>
      </c>
      <c r="N164" s="79">
        <f t="shared" si="11"/>
        <v>0</v>
      </c>
    </row>
    <row r="165" spans="2:14" x14ac:dyDescent="0.3">
      <c r="B165" s="21"/>
      <c r="C165" s="101"/>
      <c r="D165" s="87"/>
      <c r="L165" s="77">
        <f t="shared" si="9"/>
        <v>0</v>
      </c>
      <c r="M165" s="78" t="str">
        <f t="shared" si="10"/>
        <v>BE</v>
      </c>
      <c r="N165" s="79">
        <f t="shared" si="11"/>
        <v>0</v>
      </c>
    </row>
    <row r="166" spans="2:14" x14ac:dyDescent="0.3">
      <c r="B166" s="21"/>
      <c r="C166" s="101"/>
      <c r="D166" s="87"/>
      <c r="L166" s="77">
        <f t="shared" si="9"/>
        <v>0</v>
      </c>
      <c r="M166" s="78" t="str">
        <f t="shared" si="10"/>
        <v>BE</v>
      </c>
      <c r="N166" s="79">
        <f t="shared" si="11"/>
        <v>0</v>
      </c>
    </row>
    <row r="167" spans="2:14" x14ac:dyDescent="0.3">
      <c r="B167" s="21"/>
      <c r="C167" s="101"/>
      <c r="D167" s="87"/>
      <c r="L167" s="77">
        <f t="shared" si="9"/>
        <v>0</v>
      </c>
      <c r="M167" s="78" t="str">
        <f t="shared" si="10"/>
        <v>BE</v>
      </c>
      <c r="N167" s="79">
        <f t="shared" si="11"/>
        <v>0</v>
      </c>
    </row>
    <row r="168" spans="2:14" x14ac:dyDescent="0.3">
      <c r="B168" s="21"/>
      <c r="C168" s="101"/>
      <c r="D168" s="87"/>
      <c r="L168" s="77">
        <f t="shared" si="9"/>
        <v>0</v>
      </c>
      <c r="M168" s="78" t="str">
        <f t="shared" si="10"/>
        <v>BE</v>
      </c>
      <c r="N168" s="79">
        <f t="shared" si="11"/>
        <v>0</v>
      </c>
    </row>
    <row r="169" spans="2:14" x14ac:dyDescent="0.3">
      <c r="B169" s="21"/>
      <c r="C169" s="101"/>
      <c r="D169" s="87"/>
      <c r="L169" s="77">
        <f t="shared" si="9"/>
        <v>0</v>
      </c>
      <c r="M169" s="78" t="str">
        <f t="shared" si="10"/>
        <v>BE</v>
      </c>
      <c r="N169" s="79">
        <f t="shared" si="11"/>
        <v>0</v>
      </c>
    </row>
    <row r="170" spans="2:14" x14ac:dyDescent="0.3">
      <c r="B170" s="21"/>
      <c r="C170" s="101"/>
      <c r="D170" s="87"/>
      <c r="L170" s="77">
        <f t="shared" si="9"/>
        <v>0</v>
      </c>
      <c r="M170" s="78" t="str">
        <f t="shared" si="10"/>
        <v>BE</v>
      </c>
      <c r="N170" s="79">
        <f t="shared" si="11"/>
        <v>0</v>
      </c>
    </row>
    <row r="171" spans="2:14" x14ac:dyDescent="0.3">
      <c r="B171" s="21"/>
      <c r="C171" s="101"/>
      <c r="D171" s="87"/>
      <c r="L171" s="77">
        <f t="shared" si="9"/>
        <v>0</v>
      </c>
      <c r="M171" s="78" t="str">
        <f t="shared" si="10"/>
        <v>BE</v>
      </c>
      <c r="N171" s="79">
        <f t="shared" si="11"/>
        <v>0</v>
      </c>
    </row>
    <row r="172" spans="2:14" x14ac:dyDescent="0.3">
      <c r="B172" s="21"/>
      <c r="C172" s="101"/>
      <c r="D172" s="87"/>
      <c r="L172" s="77">
        <f t="shared" si="9"/>
        <v>0</v>
      </c>
      <c r="M172" s="78" t="str">
        <f t="shared" si="10"/>
        <v>BE</v>
      </c>
      <c r="N172" s="79">
        <f t="shared" si="11"/>
        <v>0</v>
      </c>
    </row>
    <row r="173" spans="2:14" x14ac:dyDescent="0.3">
      <c r="B173" s="21"/>
      <c r="C173" s="101"/>
      <c r="D173" s="87"/>
      <c r="L173" s="77">
        <f t="shared" si="9"/>
        <v>0</v>
      </c>
      <c r="M173" s="78" t="str">
        <f t="shared" si="10"/>
        <v>BE</v>
      </c>
      <c r="N173" s="79">
        <f t="shared" si="11"/>
        <v>0</v>
      </c>
    </row>
    <row r="174" spans="2:14" x14ac:dyDescent="0.3">
      <c r="B174" s="21"/>
      <c r="C174" s="101"/>
      <c r="D174" s="87"/>
      <c r="L174" s="77">
        <f t="shared" si="9"/>
        <v>0</v>
      </c>
      <c r="M174" s="78" t="str">
        <f t="shared" si="10"/>
        <v>BE</v>
      </c>
      <c r="N174" s="79">
        <f t="shared" si="11"/>
        <v>0</v>
      </c>
    </row>
    <row r="175" spans="2:14" x14ac:dyDescent="0.3">
      <c r="B175" s="21"/>
      <c r="C175" s="101"/>
      <c r="D175" s="87"/>
      <c r="L175" s="77">
        <f t="shared" si="9"/>
        <v>0</v>
      </c>
      <c r="M175" s="78" t="str">
        <f t="shared" si="10"/>
        <v>BE</v>
      </c>
      <c r="N175" s="79">
        <f t="shared" si="11"/>
        <v>0</v>
      </c>
    </row>
    <row r="176" spans="2:14" x14ac:dyDescent="0.3">
      <c r="B176" s="21"/>
      <c r="C176" s="101"/>
      <c r="D176" s="87"/>
      <c r="L176" s="77">
        <f t="shared" si="9"/>
        <v>0</v>
      </c>
      <c r="M176" s="78" t="str">
        <f t="shared" si="10"/>
        <v>BE</v>
      </c>
      <c r="N176" s="79">
        <f t="shared" si="11"/>
        <v>0</v>
      </c>
    </row>
    <row r="177" spans="2:14" x14ac:dyDescent="0.3">
      <c r="B177" s="21"/>
      <c r="C177" s="101"/>
      <c r="D177" s="87"/>
      <c r="L177" s="77">
        <f t="shared" si="9"/>
        <v>0</v>
      </c>
      <c r="M177" s="78" t="str">
        <f t="shared" si="10"/>
        <v>BE</v>
      </c>
      <c r="N177" s="79">
        <f t="shared" si="11"/>
        <v>0</v>
      </c>
    </row>
    <row r="178" spans="2:14" x14ac:dyDescent="0.3">
      <c r="B178" s="21"/>
      <c r="C178" s="101"/>
      <c r="D178" s="87"/>
      <c r="L178" s="77">
        <f t="shared" si="9"/>
        <v>0</v>
      </c>
      <c r="M178" s="78" t="str">
        <f t="shared" si="10"/>
        <v>BE</v>
      </c>
      <c r="N178" s="79">
        <f t="shared" si="11"/>
        <v>0</v>
      </c>
    </row>
    <row r="179" spans="2:14" x14ac:dyDescent="0.3">
      <c r="B179" s="21"/>
      <c r="C179" s="101"/>
      <c r="D179" s="87"/>
      <c r="L179" s="77">
        <f t="shared" si="9"/>
        <v>0</v>
      </c>
      <c r="M179" s="78" t="str">
        <f t="shared" si="10"/>
        <v>BE</v>
      </c>
      <c r="N179" s="79">
        <f t="shared" si="11"/>
        <v>0</v>
      </c>
    </row>
    <row r="180" spans="2:14" x14ac:dyDescent="0.3">
      <c r="B180" s="21"/>
      <c r="C180" s="101"/>
      <c r="D180" s="87"/>
      <c r="L180" s="77">
        <f t="shared" si="9"/>
        <v>0</v>
      </c>
      <c r="M180" s="78" t="str">
        <f t="shared" si="10"/>
        <v>BE</v>
      </c>
      <c r="N180" s="79">
        <f t="shared" si="11"/>
        <v>0</v>
      </c>
    </row>
    <row r="181" spans="2:14" x14ac:dyDescent="0.3">
      <c r="B181" s="21"/>
      <c r="C181" s="101"/>
      <c r="D181" s="87"/>
      <c r="L181" s="77">
        <f t="shared" si="9"/>
        <v>0</v>
      </c>
      <c r="M181" s="78" t="str">
        <f t="shared" si="10"/>
        <v>BE</v>
      </c>
      <c r="N181" s="79">
        <f t="shared" si="11"/>
        <v>0</v>
      </c>
    </row>
    <row r="182" spans="2:14" x14ac:dyDescent="0.3">
      <c r="B182" s="21"/>
      <c r="C182" s="101"/>
      <c r="D182" s="87"/>
      <c r="L182" s="77">
        <f t="shared" si="9"/>
        <v>0</v>
      </c>
      <c r="M182" s="78" t="str">
        <f t="shared" si="10"/>
        <v>BE</v>
      </c>
      <c r="N182" s="79">
        <f t="shared" si="11"/>
        <v>0</v>
      </c>
    </row>
    <row r="183" spans="2:14" x14ac:dyDescent="0.3">
      <c r="B183" s="21"/>
      <c r="C183" s="101"/>
      <c r="D183" s="87"/>
      <c r="L183" s="77">
        <f t="shared" si="9"/>
        <v>0</v>
      </c>
      <c r="M183" s="78" t="str">
        <f t="shared" si="10"/>
        <v>BE</v>
      </c>
      <c r="N183" s="79">
        <f t="shared" si="11"/>
        <v>0</v>
      </c>
    </row>
    <row r="184" spans="2:14" x14ac:dyDescent="0.3">
      <c r="B184" s="21"/>
      <c r="C184" s="101"/>
      <c r="D184" s="87"/>
      <c r="L184" s="77">
        <f t="shared" si="9"/>
        <v>0</v>
      </c>
      <c r="M184" s="78" t="str">
        <f t="shared" si="10"/>
        <v>BE</v>
      </c>
      <c r="N184" s="79">
        <f t="shared" si="11"/>
        <v>0</v>
      </c>
    </row>
    <row r="185" spans="2:14" x14ac:dyDescent="0.3">
      <c r="B185" s="21"/>
      <c r="C185" s="101"/>
      <c r="D185" s="87"/>
      <c r="L185" s="77">
        <f t="shared" si="9"/>
        <v>0</v>
      </c>
      <c r="M185" s="78" t="str">
        <f t="shared" si="10"/>
        <v>BE</v>
      </c>
      <c r="N185" s="79">
        <f t="shared" si="11"/>
        <v>0</v>
      </c>
    </row>
    <row r="186" spans="2:14" x14ac:dyDescent="0.3">
      <c r="B186" s="21"/>
      <c r="C186" s="101"/>
      <c r="D186" s="87"/>
      <c r="L186" s="77">
        <f t="shared" si="9"/>
        <v>0</v>
      </c>
      <c r="M186" s="78" t="str">
        <f t="shared" si="10"/>
        <v>BE</v>
      </c>
      <c r="N186" s="79">
        <f t="shared" si="11"/>
        <v>0</v>
      </c>
    </row>
    <row r="187" spans="2:14" x14ac:dyDescent="0.3">
      <c r="B187" s="21"/>
      <c r="C187" s="101"/>
      <c r="D187" s="87"/>
      <c r="L187" s="77">
        <f t="shared" si="9"/>
        <v>0</v>
      </c>
      <c r="M187" s="78" t="str">
        <f t="shared" si="10"/>
        <v>BE</v>
      </c>
      <c r="N187" s="79">
        <f t="shared" si="11"/>
        <v>0</v>
      </c>
    </row>
    <row r="188" spans="2:14" x14ac:dyDescent="0.3">
      <c r="B188" s="21"/>
      <c r="C188" s="101"/>
      <c r="D188" s="87"/>
      <c r="L188" s="77">
        <f t="shared" si="9"/>
        <v>0</v>
      </c>
      <c r="M188" s="78" t="str">
        <f t="shared" si="10"/>
        <v>BE</v>
      </c>
      <c r="N188" s="79">
        <f t="shared" si="11"/>
        <v>0</v>
      </c>
    </row>
    <row r="189" spans="2:14" x14ac:dyDescent="0.3">
      <c r="B189" s="21"/>
      <c r="C189" s="101"/>
      <c r="D189" s="87"/>
      <c r="L189" s="77">
        <f t="shared" si="9"/>
        <v>0</v>
      </c>
      <c r="M189" s="78" t="str">
        <f t="shared" si="10"/>
        <v>BE</v>
      </c>
      <c r="N189" s="79">
        <f t="shared" si="11"/>
        <v>0</v>
      </c>
    </row>
    <row r="190" spans="2:14" x14ac:dyDescent="0.3">
      <c r="B190" s="21"/>
      <c r="C190" s="101"/>
      <c r="D190" s="87"/>
      <c r="L190" s="77">
        <f t="shared" si="9"/>
        <v>0</v>
      </c>
      <c r="M190" s="78" t="str">
        <f t="shared" si="10"/>
        <v>BE</v>
      </c>
      <c r="N190" s="79">
        <f t="shared" si="11"/>
        <v>0</v>
      </c>
    </row>
    <row r="191" spans="2:14" x14ac:dyDescent="0.3">
      <c r="B191" s="21"/>
      <c r="C191" s="101"/>
      <c r="D191" s="87"/>
      <c r="L191" s="77">
        <f t="shared" si="9"/>
        <v>0</v>
      </c>
      <c r="M191" s="78" t="str">
        <f t="shared" si="10"/>
        <v>BE</v>
      </c>
      <c r="N191" s="79">
        <f t="shared" si="11"/>
        <v>0</v>
      </c>
    </row>
    <row r="192" spans="2:14" x14ac:dyDescent="0.3">
      <c r="B192" s="21"/>
      <c r="C192" s="101"/>
      <c r="D192" s="87"/>
      <c r="L192" s="77">
        <f t="shared" si="9"/>
        <v>0</v>
      </c>
      <c r="M192" s="78" t="str">
        <f t="shared" si="10"/>
        <v>BE</v>
      </c>
      <c r="N192" s="79">
        <f t="shared" si="11"/>
        <v>0</v>
      </c>
    </row>
    <row r="193" spans="2:14" x14ac:dyDescent="0.3">
      <c r="B193" s="21"/>
      <c r="C193" s="101"/>
      <c r="D193" s="87"/>
      <c r="L193" s="77">
        <f t="shared" si="9"/>
        <v>0</v>
      </c>
      <c r="M193" s="78" t="str">
        <f t="shared" si="10"/>
        <v>BE</v>
      </c>
      <c r="N193" s="79">
        <f t="shared" si="11"/>
        <v>0</v>
      </c>
    </row>
    <row r="194" spans="2:14" x14ac:dyDescent="0.3">
      <c r="B194" s="21"/>
      <c r="C194" s="101"/>
      <c r="D194" s="87"/>
      <c r="L194" s="77">
        <f t="shared" si="9"/>
        <v>0</v>
      </c>
      <c r="M194" s="78" t="str">
        <f t="shared" si="10"/>
        <v>BE</v>
      </c>
      <c r="N194" s="79">
        <f t="shared" si="11"/>
        <v>0</v>
      </c>
    </row>
    <row r="195" spans="2:14" x14ac:dyDescent="0.3">
      <c r="B195" s="21"/>
      <c r="C195" s="101"/>
      <c r="D195" s="87"/>
      <c r="L195" s="77">
        <f t="shared" ref="L195:L258" si="12">IF(ISBLANK(K195),IF(H195="Long",(J195-I195)*G195,(I195-J195)*G195),IF(H195="Long",(J195-I195)*(G195/2)+(K195-I195)*(G195/2),(I195-J195)*(G195/2)+(I195-K195)*(G195/2)))</f>
        <v>0</v>
      </c>
      <c r="M195" s="78" t="str">
        <f t="shared" ref="M195:M258" si="13">_xlfn.IFS(L195&gt;0,"win",L195&lt;0,"lose",L195=0,"BE")</f>
        <v>BE</v>
      </c>
      <c r="N195" s="79">
        <f t="shared" si="11"/>
        <v>0</v>
      </c>
    </row>
    <row r="196" spans="2:14" x14ac:dyDescent="0.3">
      <c r="B196" s="21"/>
      <c r="C196" s="101"/>
      <c r="D196" s="87"/>
      <c r="L196" s="77">
        <f t="shared" si="12"/>
        <v>0</v>
      </c>
      <c r="M196" s="78" t="str">
        <f t="shared" si="13"/>
        <v>BE</v>
      </c>
      <c r="N196" s="79">
        <f t="shared" si="11"/>
        <v>0</v>
      </c>
    </row>
    <row r="197" spans="2:14" x14ac:dyDescent="0.3">
      <c r="B197" s="21"/>
      <c r="C197" s="101"/>
      <c r="D197" s="87"/>
      <c r="L197" s="77">
        <f t="shared" si="12"/>
        <v>0</v>
      </c>
      <c r="M197" s="78" t="str">
        <f t="shared" si="13"/>
        <v>BE</v>
      </c>
      <c r="N197" s="79">
        <f t="shared" ref="N197:N260" si="14">L197+N196</f>
        <v>0</v>
      </c>
    </row>
    <row r="198" spans="2:14" x14ac:dyDescent="0.3">
      <c r="B198" s="21"/>
      <c r="C198" s="101"/>
      <c r="D198" s="87"/>
      <c r="L198" s="77">
        <f t="shared" si="12"/>
        <v>0</v>
      </c>
      <c r="M198" s="78" t="str">
        <f t="shared" si="13"/>
        <v>BE</v>
      </c>
      <c r="N198" s="79">
        <f t="shared" si="14"/>
        <v>0</v>
      </c>
    </row>
    <row r="199" spans="2:14" x14ac:dyDescent="0.3">
      <c r="B199" s="21"/>
      <c r="C199" s="101"/>
      <c r="D199" s="87"/>
      <c r="L199" s="77">
        <f t="shared" si="12"/>
        <v>0</v>
      </c>
      <c r="M199" s="78" t="str">
        <f t="shared" si="13"/>
        <v>BE</v>
      </c>
      <c r="N199" s="79">
        <f t="shared" si="14"/>
        <v>0</v>
      </c>
    </row>
    <row r="200" spans="2:14" x14ac:dyDescent="0.3">
      <c r="B200" s="21"/>
      <c r="C200" s="101"/>
      <c r="D200" s="87"/>
      <c r="L200" s="77">
        <f t="shared" si="12"/>
        <v>0</v>
      </c>
      <c r="M200" s="78" t="str">
        <f t="shared" si="13"/>
        <v>BE</v>
      </c>
      <c r="N200" s="79">
        <f t="shared" si="14"/>
        <v>0</v>
      </c>
    </row>
    <row r="201" spans="2:14" x14ac:dyDescent="0.3">
      <c r="B201" s="21"/>
      <c r="C201" s="101"/>
      <c r="D201" s="87"/>
      <c r="L201" s="77">
        <f t="shared" si="12"/>
        <v>0</v>
      </c>
      <c r="M201" s="78" t="str">
        <f t="shared" si="13"/>
        <v>BE</v>
      </c>
      <c r="N201" s="79">
        <f t="shared" si="14"/>
        <v>0</v>
      </c>
    </row>
    <row r="202" spans="2:14" x14ac:dyDescent="0.3">
      <c r="B202" s="21"/>
      <c r="C202" s="101"/>
      <c r="D202" s="87"/>
      <c r="L202" s="77">
        <f t="shared" si="12"/>
        <v>0</v>
      </c>
      <c r="M202" s="78" t="str">
        <f t="shared" si="13"/>
        <v>BE</v>
      </c>
      <c r="N202" s="79">
        <f t="shared" si="14"/>
        <v>0</v>
      </c>
    </row>
    <row r="203" spans="2:14" x14ac:dyDescent="0.3">
      <c r="B203" s="21"/>
      <c r="C203" s="101"/>
      <c r="D203" s="87"/>
      <c r="L203" s="77">
        <f t="shared" si="12"/>
        <v>0</v>
      </c>
      <c r="M203" s="78" t="str">
        <f t="shared" si="13"/>
        <v>BE</v>
      </c>
      <c r="N203" s="79">
        <f t="shared" si="14"/>
        <v>0</v>
      </c>
    </row>
    <row r="204" spans="2:14" x14ac:dyDescent="0.3">
      <c r="B204" s="21"/>
      <c r="C204" s="101"/>
      <c r="D204" s="87"/>
      <c r="L204" s="77">
        <f t="shared" si="12"/>
        <v>0</v>
      </c>
      <c r="M204" s="78" t="str">
        <f t="shared" si="13"/>
        <v>BE</v>
      </c>
      <c r="N204" s="79">
        <f t="shared" si="14"/>
        <v>0</v>
      </c>
    </row>
    <row r="205" spans="2:14" x14ac:dyDescent="0.3">
      <c r="B205" s="21"/>
      <c r="C205" s="101"/>
      <c r="D205" s="87"/>
      <c r="L205" s="77">
        <f t="shared" si="12"/>
        <v>0</v>
      </c>
      <c r="M205" s="78" t="str">
        <f t="shared" si="13"/>
        <v>BE</v>
      </c>
      <c r="N205" s="79">
        <f t="shared" si="14"/>
        <v>0</v>
      </c>
    </row>
    <row r="206" spans="2:14" x14ac:dyDescent="0.3">
      <c r="B206" s="21"/>
      <c r="C206" s="101"/>
      <c r="D206" s="87"/>
      <c r="L206" s="77">
        <f t="shared" si="12"/>
        <v>0</v>
      </c>
      <c r="M206" s="78" t="str">
        <f t="shared" si="13"/>
        <v>BE</v>
      </c>
      <c r="N206" s="79">
        <f t="shared" si="14"/>
        <v>0</v>
      </c>
    </row>
    <row r="207" spans="2:14" x14ac:dyDescent="0.3">
      <c r="B207" s="21"/>
      <c r="C207" s="101"/>
      <c r="D207" s="87"/>
      <c r="L207" s="77">
        <f t="shared" si="12"/>
        <v>0</v>
      </c>
      <c r="M207" s="78" t="str">
        <f t="shared" si="13"/>
        <v>BE</v>
      </c>
      <c r="N207" s="79">
        <f t="shared" si="14"/>
        <v>0</v>
      </c>
    </row>
    <row r="208" spans="2:14" x14ac:dyDescent="0.3">
      <c r="B208" s="21"/>
      <c r="C208" s="101"/>
      <c r="D208" s="87"/>
      <c r="L208" s="77">
        <f t="shared" si="12"/>
        <v>0</v>
      </c>
      <c r="M208" s="78" t="str">
        <f t="shared" si="13"/>
        <v>BE</v>
      </c>
      <c r="N208" s="79">
        <f t="shared" si="14"/>
        <v>0</v>
      </c>
    </row>
    <row r="209" spans="2:14" x14ac:dyDescent="0.3">
      <c r="B209" s="21"/>
      <c r="C209" s="101"/>
      <c r="D209" s="87"/>
      <c r="L209" s="77">
        <f t="shared" si="12"/>
        <v>0</v>
      </c>
      <c r="M209" s="78" t="str">
        <f t="shared" si="13"/>
        <v>BE</v>
      </c>
      <c r="N209" s="79">
        <f t="shared" si="14"/>
        <v>0</v>
      </c>
    </row>
    <row r="210" spans="2:14" x14ac:dyDescent="0.3">
      <c r="B210" s="21"/>
      <c r="C210" s="101"/>
      <c r="D210" s="87"/>
      <c r="L210" s="77">
        <f t="shared" si="12"/>
        <v>0</v>
      </c>
      <c r="M210" s="78" t="str">
        <f t="shared" si="13"/>
        <v>BE</v>
      </c>
      <c r="N210" s="79">
        <f t="shared" si="14"/>
        <v>0</v>
      </c>
    </row>
    <row r="211" spans="2:14" x14ac:dyDescent="0.3">
      <c r="B211" s="21"/>
      <c r="C211" s="101"/>
      <c r="D211" s="87"/>
      <c r="L211" s="77">
        <f t="shared" si="12"/>
        <v>0</v>
      </c>
      <c r="M211" s="78" t="str">
        <f t="shared" si="13"/>
        <v>BE</v>
      </c>
      <c r="N211" s="79">
        <f t="shared" si="14"/>
        <v>0</v>
      </c>
    </row>
    <row r="212" spans="2:14" x14ac:dyDescent="0.3">
      <c r="B212" s="21"/>
      <c r="C212" s="101"/>
      <c r="D212" s="87"/>
      <c r="L212" s="77">
        <f t="shared" si="12"/>
        <v>0</v>
      </c>
      <c r="M212" s="78" t="str">
        <f t="shared" si="13"/>
        <v>BE</v>
      </c>
      <c r="N212" s="79">
        <f t="shared" si="14"/>
        <v>0</v>
      </c>
    </row>
    <row r="213" spans="2:14" x14ac:dyDescent="0.3">
      <c r="B213" s="21"/>
      <c r="C213" s="101"/>
      <c r="D213" s="87"/>
      <c r="L213" s="77">
        <f t="shared" si="12"/>
        <v>0</v>
      </c>
      <c r="M213" s="78" t="str">
        <f t="shared" si="13"/>
        <v>BE</v>
      </c>
      <c r="N213" s="79">
        <f t="shared" si="14"/>
        <v>0</v>
      </c>
    </row>
    <row r="214" spans="2:14" x14ac:dyDescent="0.3">
      <c r="B214" s="21"/>
      <c r="C214" s="101"/>
      <c r="D214" s="87"/>
      <c r="L214" s="77">
        <f t="shared" si="12"/>
        <v>0</v>
      </c>
      <c r="M214" s="78" t="str">
        <f t="shared" si="13"/>
        <v>BE</v>
      </c>
      <c r="N214" s="79">
        <f t="shared" si="14"/>
        <v>0</v>
      </c>
    </row>
    <row r="215" spans="2:14" x14ac:dyDescent="0.3">
      <c r="B215" s="21"/>
      <c r="C215" s="101"/>
      <c r="D215" s="87"/>
      <c r="L215" s="77">
        <f t="shared" si="12"/>
        <v>0</v>
      </c>
      <c r="M215" s="78" t="str">
        <f t="shared" si="13"/>
        <v>BE</v>
      </c>
      <c r="N215" s="79">
        <f t="shared" si="14"/>
        <v>0</v>
      </c>
    </row>
    <row r="216" spans="2:14" x14ac:dyDescent="0.3">
      <c r="B216" s="21"/>
      <c r="C216" s="101"/>
      <c r="D216" s="87"/>
      <c r="L216" s="77">
        <f t="shared" si="12"/>
        <v>0</v>
      </c>
      <c r="M216" s="78" t="str">
        <f t="shared" si="13"/>
        <v>BE</v>
      </c>
      <c r="N216" s="79">
        <f t="shared" si="14"/>
        <v>0</v>
      </c>
    </row>
    <row r="217" spans="2:14" x14ac:dyDescent="0.3">
      <c r="B217" s="21"/>
      <c r="C217" s="101"/>
      <c r="D217" s="87"/>
      <c r="L217" s="77">
        <f t="shared" si="12"/>
        <v>0</v>
      </c>
      <c r="M217" s="78" t="str">
        <f t="shared" si="13"/>
        <v>BE</v>
      </c>
      <c r="N217" s="79">
        <f t="shared" si="14"/>
        <v>0</v>
      </c>
    </row>
    <row r="218" spans="2:14" x14ac:dyDescent="0.3">
      <c r="B218" s="21"/>
      <c r="C218" s="101"/>
      <c r="D218" s="87"/>
      <c r="L218" s="77">
        <f t="shared" si="12"/>
        <v>0</v>
      </c>
      <c r="M218" s="78" t="str">
        <f t="shared" si="13"/>
        <v>BE</v>
      </c>
      <c r="N218" s="79">
        <f t="shared" si="14"/>
        <v>0</v>
      </c>
    </row>
    <row r="219" spans="2:14" x14ac:dyDescent="0.3">
      <c r="B219" s="21"/>
      <c r="C219" s="101"/>
      <c r="D219" s="87"/>
      <c r="L219" s="77">
        <f t="shared" si="12"/>
        <v>0</v>
      </c>
      <c r="M219" s="78" t="str">
        <f t="shared" si="13"/>
        <v>BE</v>
      </c>
      <c r="N219" s="79">
        <f t="shared" si="14"/>
        <v>0</v>
      </c>
    </row>
    <row r="220" spans="2:14" x14ac:dyDescent="0.3">
      <c r="B220" s="21"/>
      <c r="D220" s="87"/>
      <c r="L220" s="77">
        <f t="shared" si="12"/>
        <v>0</v>
      </c>
      <c r="M220" s="78" t="str">
        <f t="shared" si="13"/>
        <v>BE</v>
      </c>
      <c r="N220" s="79">
        <f t="shared" si="14"/>
        <v>0</v>
      </c>
    </row>
    <row r="221" spans="2:14" x14ac:dyDescent="0.3">
      <c r="B221" s="21"/>
      <c r="D221" s="87"/>
      <c r="L221" s="77">
        <f t="shared" si="12"/>
        <v>0</v>
      </c>
      <c r="M221" s="78" t="str">
        <f t="shared" si="13"/>
        <v>BE</v>
      </c>
      <c r="N221" s="79">
        <f t="shared" si="14"/>
        <v>0</v>
      </c>
    </row>
    <row r="222" spans="2:14" x14ac:dyDescent="0.3">
      <c r="B222" s="21"/>
      <c r="D222" s="87"/>
      <c r="L222" s="77">
        <f t="shared" si="12"/>
        <v>0</v>
      </c>
      <c r="M222" s="78" t="str">
        <f t="shared" si="13"/>
        <v>BE</v>
      </c>
      <c r="N222" s="79">
        <f t="shared" si="14"/>
        <v>0</v>
      </c>
    </row>
    <row r="223" spans="2:14" x14ac:dyDescent="0.3">
      <c r="B223" s="21"/>
      <c r="D223" s="87"/>
      <c r="L223" s="77">
        <f t="shared" si="12"/>
        <v>0</v>
      </c>
      <c r="M223" s="78" t="str">
        <f t="shared" si="13"/>
        <v>BE</v>
      </c>
      <c r="N223" s="79">
        <f t="shared" si="14"/>
        <v>0</v>
      </c>
    </row>
    <row r="224" spans="2:14" x14ac:dyDescent="0.3">
      <c r="B224" s="21"/>
      <c r="D224" s="87"/>
      <c r="L224" s="77">
        <f t="shared" si="12"/>
        <v>0</v>
      </c>
      <c r="M224" s="78" t="str">
        <f t="shared" si="13"/>
        <v>BE</v>
      </c>
      <c r="N224" s="79">
        <f t="shared" si="14"/>
        <v>0</v>
      </c>
    </row>
    <row r="225" spans="2:14" x14ac:dyDescent="0.3">
      <c r="B225" s="21"/>
      <c r="D225" s="87"/>
      <c r="L225" s="77">
        <f t="shared" si="12"/>
        <v>0</v>
      </c>
      <c r="M225" s="78" t="str">
        <f t="shared" si="13"/>
        <v>BE</v>
      </c>
      <c r="N225" s="79">
        <f t="shared" si="14"/>
        <v>0</v>
      </c>
    </row>
    <row r="226" spans="2:14" x14ac:dyDescent="0.3">
      <c r="B226" s="21"/>
      <c r="D226" s="87"/>
      <c r="L226" s="77">
        <f t="shared" si="12"/>
        <v>0</v>
      </c>
      <c r="M226" s="78" t="str">
        <f t="shared" si="13"/>
        <v>BE</v>
      </c>
      <c r="N226" s="79">
        <f t="shared" si="14"/>
        <v>0</v>
      </c>
    </row>
    <row r="227" spans="2:14" x14ac:dyDescent="0.3">
      <c r="B227" s="21"/>
      <c r="D227" s="87"/>
      <c r="L227" s="77">
        <f t="shared" si="12"/>
        <v>0</v>
      </c>
      <c r="M227" s="78" t="str">
        <f t="shared" si="13"/>
        <v>BE</v>
      </c>
      <c r="N227" s="79">
        <f t="shared" si="14"/>
        <v>0</v>
      </c>
    </row>
    <row r="228" spans="2:14" x14ac:dyDescent="0.3">
      <c r="B228" s="21"/>
      <c r="D228" s="87"/>
      <c r="L228" s="77">
        <f t="shared" si="12"/>
        <v>0</v>
      </c>
      <c r="M228" s="78" t="str">
        <f t="shared" si="13"/>
        <v>BE</v>
      </c>
      <c r="N228" s="79">
        <f t="shared" si="14"/>
        <v>0</v>
      </c>
    </row>
    <row r="229" spans="2:14" x14ac:dyDescent="0.3">
      <c r="B229" s="21"/>
      <c r="D229" s="87"/>
      <c r="L229" s="77">
        <f t="shared" si="12"/>
        <v>0</v>
      </c>
      <c r="M229" s="78" t="str">
        <f t="shared" si="13"/>
        <v>BE</v>
      </c>
      <c r="N229" s="79">
        <f t="shared" si="14"/>
        <v>0</v>
      </c>
    </row>
    <row r="230" spans="2:14" x14ac:dyDescent="0.3">
      <c r="B230" s="21"/>
      <c r="D230" s="87"/>
      <c r="L230" s="77">
        <f t="shared" si="12"/>
        <v>0</v>
      </c>
      <c r="M230" s="78" t="str">
        <f t="shared" si="13"/>
        <v>BE</v>
      </c>
      <c r="N230" s="79">
        <f t="shared" si="14"/>
        <v>0</v>
      </c>
    </row>
    <row r="231" spans="2:14" x14ac:dyDescent="0.3">
      <c r="B231" s="21"/>
      <c r="D231" s="87"/>
      <c r="L231" s="77">
        <f t="shared" si="12"/>
        <v>0</v>
      </c>
      <c r="M231" s="78" t="str">
        <f t="shared" si="13"/>
        <v>BE</v>
      </c>
      <c r="N231" s="79">
        <f t="shared" si="14"/>
        <v>0</v>
      </c>
    </row>
    <row r="232" spans="2:14" x14ac:dyDescent="0.3">
      <c r="B232" s="21"/>
      <c r="D232" s="87"/>
      <c r="L232" s="77">
        <f t="shared" si="12"/>
        <v>0</v>
      </c>
      <c r="M232" s="78" t="str">
        <f t="shared" si="13"/>
        <v>BE</v>
      </c>
      <c r="N232" s="79">
        <f t="shared" si="14"/>
        <v>0</v>
      </c>
    </row>
    <row r="233" spans="2:14" x14ac:dyDescent="0.3">
      <c r="B233" s="21"/>
      <c r="D233" s="87"/>
      <c r="L233" s="77">
        <f t="shared" si="12"/>
        <v>0</v>
      </c>
      <c r="M233" s="78" t="str">
        <f t="shared" si="13"/>
        <v>BE</v>
      </c>
      <c r="N233" s="79">
        <f t="shared" si="14"/>
        <v>0</v>
      </c>
    </row>
    <row r="234" spans="2:14" x14ac:dyDescent="0.3">
      <c r="B234" s="21"/>
      <c r="D234" s="87"/>
      <c r="L234" s="77">
        <f t="shared" si="12"/>
        <v>0</v>
      </c>
      <c r="M234" s="78" t="str">
        <f t="shared" si="13"/>
        <v>BE</v>
      </c>
      <c r="N234" s="79">
        <f t="shared" si="14"/>
        <v>0</v>
      </c>
    </row>
    <row r="235" spans="2:14" x14ac:dyDescent="0.3">
      <c r="B235" s="21"/>
      <c r="D235" s="87"/>
      <c r="L235" s="77">
        <f t="shared" si="12"/>
        <v>0</v>
      </c>
      <c r="M235" s="78" t="str">
        <f t="shared" si="13"/>
        <v>BE</v>
      </c>
      <c r="N235" s="79">
        <f t="shared" si="14"/>
        <v>0</v>
      </c>
    </row>
    <row r="236" spans="2:14" x14ac:dyDescent="0.3">
      <c r="B236" s="21"/>
      <c r="D236" s="87"/>
      <c r="L236" s="77">
        <f t="shared" si="12"/>
        <v>0</v>
      </c>
      <c r="M236" s="78" t="str">
        <f t="shared" si="13"/>
        <v>BE</v>
      </c>
      <c r="N236" s="79">
        <f t="shared" si="14"/>
        <v>0</v>
      </c>
    </row>
    <row r="237" spans="2:14" x14ac:dyDescent="0.3">
      <c r="B237" s="21"/>
      <c r="D237" s="87"/>
      <c r="L237" s="77">
        <f t="shared" si="12"/>
        <v>0</v>
      </c>
      <c r="M237" s="78" t="str">
        <f t="shared" si="13"/>
        <v>BE</v>
      </c>
      <c r="N237" s="79">
        <f t="shared" si="14"/>
        <v>0</v>
      </c>
    </row>
    <row r="238" spans="2:14" x14ac:dyDescent="0.3">
      <c r="B238" s="21"/>
      <c r="D238" s="87"/>
      <c r="L238" s="77">
        <f t="shared" si="12"/>
        <v>0</v>
      </c>
      <c r="M238" s="78" t="str">
        <f t="shared" si="13"/>
        <v>BE</v>
      </c>
      <c r="N238" s="79">
        <f t="shared" si="14"/>
        <v>0</v>
      </c>
    </row>
    <row r="239" spans="2:14" x14ac:dyDescent="0.3">
      <c r="B239" s="21"/>
      <c r="D239" s="87"/>
      <c r="L239" s="77">
        <f t="shared" si="12"/>
        <v>0</v>
      </c>
      <c r="M239" s="78" t="str">
        <f t="shared" si="13"/>
        <v>BE</v>
      </c>
      <c r="N239" s="79">
        <f t="shared" si="14"/>
        <v>0</v>
      </c>
    </row>
    <row r="240" spans="2:14" x14ac:dyDescent="0.3">
      <c r="B240" s="21"/>
      <c r="D240" s="87"/>
      <c r="L240" s="77">
        <f t="shared" si="12"/>
        <v>0</v>
      </c>
      <c r="M240" s="78" t="str">
        <f t="shared" si="13"/>
        <v>BE</v>
      </c>
      <c r="N240" s="79">
        <f t="shared" si="14"/>
        <v>0</v>
      </c>
    </row>
    <row r="241" spans="2:14" x14ac:dyDescent="0.3">
      <c r="B241" s="21"/>
      <c r="D241" s="87"/>
      <c r="L241" s="77">
        <f t="shared" si="12"/>
        <v>0</v>
      </c>
      <c r="M241" s="78" t="str">
        <f t="shared" si="13"/>
        <v>BE</v>
      </c>
      <c r="N241" s="79">
        <f t="shared" si="14"/>
        <v>0</v>
      </c>
    </row>
    <row r="242" spans="2:14" x14ac:dyDescent="0.3">
      <c r="B242" s="21"/>
      <c r="D242" s="87"/>
      <c r="L242" s="77">
        <f t="shared" si="12"/>
        <v>0</v>
      </c>
      <c r="M242" s="78" t="str">
        <f t="shared" si="13"/>
        <v>BE</v>
      </c>
      <c r="N242" s="79">
        <f t="shared" si="14"/>
        <v>0</v>
      </c>
    </row>
    <row r="243" spans="2:14" x14ac:dyDescent="0.3">
      <c r="B243" s="21"/>
      <c r="D243" s="87"/>
      <c r="L243" s="77">
        <f t="shared" si="12"/>
        <v>0</v>
      </c>
      <c r="M243" s="78" t="str">
        <f t="shared" si="13"/>
        <v>BE</v>
      </c>
      <c r="N243" s="79">
        <f t="shared" si="14"/>
        <v>0</v>
      </c>
    </row>
    <row r="244" spans="2:14" x14ac:dyDescent="0.3">
      <c r="B244" s="21"/>
      <c r="D244" s="87"/>
      <c r="L244" s="77">
        <f t="shared" si="12"/>
        <v>0</v>
      </c>
      <c r="M244" s="78" t="str">
        <f t="shared" si="13"/>
        <v>BE</v>
      </c>
      <c r="N244" s="79">
        <f t="shared" si="14"/>
        <v>0</v>
      </c>
    </row>
    <row r="245" spans="2:14" x14ac:dyDescent="0.3">
      <c r="B245" s="21"/>
      <c r="D245" s="87"/>
      <c r="L245" s="77">
        <f t="shared" si="12"/>
        <v>0</v>
      </c>
      <c r="M245" s="78" t="str">
        <f t="shared" si="13"/>
        <v>BE</v>
      </c>
      <c r="N245" s="79">
        <f t="shared" si="14"/>
        <v>0</v>
      </c>
    </row>
    <row r="246" spans="2:14" x14ac:dyDescent="0.3">
      <c r="B246" s="21"/>
      <c r="D246" s="87"/>
      <c r="L246" s="77">
        <f t="shared" si="12"/>
        <v>0</v>
      </c>
      <c r="M246" s="78" t="str">
        <f t="shared" si="13"/>
        <v>BE</v>
      </c>
      <c r="N246" s="79">
        <f t="shared" si="14"/>
        <v>0</v>
      </c>
    </row>
    <row r="247" spans="2:14" x14ac:dyDescent="0.3">
      <c r="B247" s="21"/>
      <c r="D247" s="87"/>
      <c r="L247" s="77">
        <f t="shared" si="12"/>
        <v>0</v>
      </c>
      <c r="M247" s="78" t="str">
        <f t="shared" si="13"/>
        <v>BE</v>
      </c>
      <c r="N247" s="79">
        <f t="shared" si="14"/>
        <v>0</v>
      </c>
    </row>
    <row r="248" spans="2:14" x14ac:dyDescent="0.3">
      <c r="B248" s="21"/>
      <c r="D248" s="87"/>
      <c r="L248" s="77">
        <f t="shared" si="12"/>
        <v>0</v>
      </c>
      <c r="M248" s="78" t="str">
        <f t="shared" si="13"/>
        <v>BE</v>
      </c>
      <c r="N248" s="79">
        <f t="shared" si="14"/>
        <v>0</v>
      </c>
    </row>
    <row r="249" spans="2:14" x14ac:dyDescent="0.3">
      <c r="B249" s="21"/>
      <c r="D249" s="87"/>
      <c r="L249" s="77">
        <f t="shared" si="12"/>
        <v>0</v>
      </c>
      <c r="M249" s="78" t="str">
        <f t="shared" si="13"/>
        <v>BE</v>
      </c>
      <c r="N249" s="79">
        <f t="shared" si="14"/>
        <v>0</v>
      </c>
    </row>
    <row r="250" spans="2:14" x14ac:dyDescent="0.3">
      <c r="B250" s="21"/>
      <c r="D250" s="87"/>
      <c r="L250" s="77">
        <f t="shared" si="12"/>
        <v>0</v>
      </c>
      <c r="M250" s="78" t="str">
        <f t="shared" si="13"/>
        <v>BE</v>
      </c>
      <c r="N250" s="79">
        <f t="shared" si="14"/>
        <v>0</v>
      </c>
    </row>
    <row r="251" spans="2:14" x14ac:dyDescent="0.3">
      <c r="B251" s="21"/>
      <c r="D251" s="87"/>
      <c r="L251" s="77">
        <f t="shared" si="12"/>
        <v>0</v>
      </c>
      <c r="M251" s="78" t="str">
        <f t="shared" si="13"/>
        <v>BE</v>
      </c>
      <c r="N251" s="79">
        <f t="shared" si="14"/>
        <v>0</v>
      </c>
    </row>
    <row r="252" spans="2:14" x14ac:dyDescent="0.3">
      <c r="B252" s="21"/>
      <c r="D252" s="87"/>
      <c r="L252" s="77">
        <f t="shared" si="12"/>
        <v>0</v>
      </c>
      <c r="M252" s="78" t="str">
        <f t="shared" si="13"/>
        <v>BE</v>
      </c>
      <c r="N252" s="79">
        <f t="shared" si="14"/>
        <v>0</v>
      </c>
    </row>
    <row r="253" spans="2:14" x14ac:dyDescent="0.3">
      <c r="B253" s="21"/>
      <c r="D253" s="87"/>
      <c r="L253" s="77">
        <f t="shared" si="12"/>
        <v>0</v>
      </c>
      <c r="M253" s="78" t="str">
        <f t="shared" si="13"/>
        <v>BE</v>
      </c>
      <c r="N253" s="79">
        <f t="shared" si="14"/>
        <v>0</v>
      </c>
    </row>
    <row r="254" spans="2:14" x14ac:dyDescent="0.3">
      <c r="B254" s="21"/>
      <c r="D254" s="87"/>
      <c r="L254" s="77">
        <f t="shared" si="12"/>
        <v>0</v>
      </c>
      <c r="M254" s="78" t="str">
        <f t="shared" si="13"/>
        <v>BE</v>
      </c>
      <c r="N254" s="79">
        <f t="shared" si="14"/>
        <v>0</v>
      </c>
    </row>
    <row r="255" spans="2:14" x14ac:dyDescent="0.3">
      <c r="B255" s="21"/>
      <c r="D255" s="87"/>
      <c r="L255" s="77">
        <f t="shared" si="12"/>
        <v>0</v>
      </c>
      <c r="M255" s="78" t="str">
        <f t="shared" si="13"/>
        <v>BE</v>
      </c>
      <c r="N255" s="79">
        <f t="shared" si="14"/>
        <v>0</v>
      </c>
    </row>
    <row r="256" spans="2:14" x14ac:dyDescent="0.3">
      <c r="B256" s="21"/>
      <c r="D256" s="87"/>
      <c r="L256" s="77">
        <f t="shared" si="12"/>
        <v>0</v>
      </c>
      <c r="M256" s="78" t="str">
        <f t="shared" si="13"/>
        <v>BE</v>
      </c>
      <c r="N256" s="79">
        <f t="shared" si="14"/>
        <v>0</v>
      </c>
    </row>
    <row r="257" spans="2:17" x14ac:dyDescent="0.3">
      <c r="B257" s="21"/>
      <c r="D257" s="87"/>
      <c r="L257" s="77">
        <f t="shared" si="12"/>
        <v>0</v>
      </c>
      <c r="M257" s="78" t="str">
        <f t="shared" si="13"/>
        <v>BE</v>
      </c>
      <c r="N257" s="79">
        <f t="shared" si="14"/>
        <v>0</v>
      </c>
    </row>
    <row r="258" spans="2:17" x14ac:dyDescent="0.3">
      <c r="B258" s="21"/>
      <c r="D258" s="87"/>
      <c r="L258" s="77">
        <f t="shared" si="12"/>
        <v>0</v>
      </c>
      <c r="M258" s="78" t="str">
        <f t="shared" si="13"/>
        <v>BE</v>
      </c>
      <c r="N258" s="79">
        <f t="shared" si="14"/>
        <v>0</v>
      </c>
    </row>
    <row r="259" spans="2:17" x14ac:dyDescent="0.3">
      <c r="B259" s="21"/>
      <c r="D259" s="87"/>
      <c r="L259" s="77">
        <f t="shared" ref="L259:L322" si="15">IF(ISBLANK(K259),IF(H259="Long",(J259-I259)*G259,(I259-J259)*G259),IF(H259="Long",(J259-I259)*(G259/2)+(K259-I259)*(G259/2),(I259-J259)*(G259/2)+(I259-K259)*(G259/2)))</f>
        <v>0</v>
      </c>
      <c r="M259" s="78" t="str">
        <f t="shared" ref="M259:M322" si="16">_xlfn.IFS(L259&gt;0,"win",L259&lt;0,"lose",L259=0,"BE")</f>
        <v>BE</v>
      </c>
      <c r="N259" s="79">
        <f t="shared" si="14"/>
        <v>0</v>
      </c>
    </row>
    <row r="260" spans="2:17" x14ac:dyDescent="0.3">
      <c r="B260" s="21"/>
      <c r="D260" s="87"/>
      <c r="L260" s="77">
        <f t="shared" si="15"/>
        <v>0</v>
      </c>
      <c r="M260" s="78" t="str">
        <f t="shared" si="16"/>
        <v>BE</v>
      </c>
      <c r="N260" s="79">
        <f t="shared" si="14"/>
        <v>0</v>
      </c>
      <c r="Q260" s="61"/>
    </row>
    <row r="261" spans="2:17" x14ac:dyDescent="0.3">
      <c r="B261" s="21"/>
      <c r="D261" s="87"/>
      <c r="L261" s="77">
        <f t="shared" si="15"/>
        <v>0</v>
      </c>
      <c r="M261" s="78" t="str">
        <f t="shared" si="16"/>
        <v>BE</v>
      </c>
      <c r="N261" s="79">
        <f t="shared" ref="N261:N324" si="17">L261+N260</f>
        <v>0</v>
      </c>
    </row>
    <row r="262" spans="2:17" x14ac:dyDescent="0.3">
      <c r="B262" s="21"/>
      <c r="D262" s="87"/>
      <c r="L262" s="77">
        <f t="shared" si="15"/>
        <v>0</v>
      </c>
      <c r="M262" s="78" t="str">
        <f t="shared" si="16"/>
        <v>BE</v>
      </c>
      <c r="N262" s="79">
        <f t="shared" si="17"/>
        <v>0</v>
      </c>
    </row>
    <row r="263" spans="2:17" x14ac:dyDescent="0.3">
      <c r="B263" s="21"/>
      <c r="D263" s="87"/>
      <c r="L263" s="77">
        <f t="shared" si="15"/>
        <v>0</v>
      </c>
      <c r="M263" s="78" t="str">
        <f t="shared" si="16"/>
        <v>BE</v>
      </c>
      <c r="N263" s="79">
        <f t="shared" si="17"/>
        <v>0</v>
      </c>
    </row>
    <row r="264" spans="2:17" x14ac:dyDescent="0.3">
      <c r="B264" s="21"/>
      <c r="D264" s="87"/>
      <c r="L264" s="77">
        <f t="shared" si="15"/>
        <v>0</v>
      </c>
      <c r="M264" s="78" t="str">
        <f t="shared" si="16"/>
        <v>BE</v>
      </c>
      <c r="N264" s="79">
        <f t="shared" si="17"/>
        <v>0</v>
      </c>
    </row>
    <row r="265" spans="2:17" x14ac:dyDescent="0.3">
      <c r="B265" s="21"/>
      <c r="D265" s="87"/>
      <c r="L265" s="77">
        <f t="shared" si="15"/>
        <v>0</v>
      </c>
      <c r="M265" s="78" t="str">
        <f t="shared" si="16"/>
        <v>BE</v>
      </c>
      <c r="N265" s="79">
        <f t="shared" si="17"/>
        <v>0</v>
      </c>
    </row>
    <row r="266" spans="2:17" x14ac:dyDescent="0.3">
      <c r="B266" s="21"/>
      <c r="D266" s="87"/>
      <c r="L266" s="77">
        <f t="shared" si="15"/>
        <v>0</v>
      </c>
      <c r="M266" s="78" t="str">
        <f t="shared" si="16"/>
        <v>BE</v>
      </c>
      <c r="N266" s="79">
        <f t="shared" si="17"/>
        <v>0</v>
      </c>
    </row>
    <row r="267" spans="2:17" x14ac:dyDescent="0.3">
      <c r="B267" s="21"/>
      <c r="D267" s="87"/>
      <c r="L267" s="77">
        <f t="shared" si="15"/>
        <v>0</v>
      </c>
      <c r="M267" s="78" t="str">
        <f t="shared" si="16"/>
        <v>BE</v>
      </c>
      <c r="N267" s="79">
        <f t="shared" si="17"/>
        <v>0</v>
      </c>
    </row>
    <row r="268" spans="2:17" x14ac:dyDescent="0.3">
      <c r="B268" s="21"/>
      <c r="D268" s="87"/>
      <c r="L268" s="77">
        <f t="shared" si="15"/>
        <v>0</v>
      </c>
      <c r="M268" s="78" t="str">
        <f t="shared" si="16"/>
        <v>BE</v>
      </c>
      <c r="N268" s="79">
        <f t="shared" si="17"/>
        <v>0</v>
      </c>
    </row>
    <row r="269" spans="2:17" x14ac:dyDescent="0.3">
      <c r="B269" s="21"/>
      <c r="D269" s="87"/>
      <c r="L269" s="77">
        <f t="shared" si="15"/>
        <v>0</v>
      </c>
      <c r="M269" s="78" t="str">
        <f t="shared" si="16"/>
        <v>BE</v>
      </c>
      <c r="N269" s="79">
        <f t="shared" si="17"/>
        <v>0</v>
      </c>
    </row>
    <row r="270" spans="2:17" x14ac:dyDescent="0.3">
      <c r="B270" s="21"/>
      <c r="D270" s="87"/>
      <c r="L270" s="77">
        <f t="shared" si="15"/>
        <v>0</v>
      </c>
      <c r="M270" s="78" t="str">
        <f t="shared" si="16"/>
        <v>BE</v>
      </c>
      <c r="N270" s="79">
        <f t="shared" si="17"/>
        <v>0</v>
      </c>
    </row>
    <row r="271" spans="2:17" x14ac:dyDescent="0.3">
      <c r="B271" s="21"/>
      <c r="D271" s="87"/>
      <c r="L271" s="77">
        <f t="shared" si="15"/>
        <v>0</v>
      </c>
      <c r="M271" s="78" t="str">
        <f t="shared" si="16"/>
        <v>BE</v>
      </c>
      <c r="N271" s="79">
        <f t="shared" si="17"/>
        <v>0</v>
      </c>
    </row>
    <row r="272" spans="2:17" x14ac:dyDescent="0.3">
      <c r="B272" s="21"/>
      <c r="D272" s="87"/>
      <c r="L272" s="77">
        <f t="shared" si="15"/>
        <v>0</v>
      </c>
      <c r="M272" s="78" t="str">
        <f t="shared" si="16"/>
        <v>BE</v>
      </c>
      <c r="N272" s="79">
        <f t="shared" si="17"/>
        <v>0</v>
      </c>
    </row>
    <row r="273" spans="2:14" x14ac:dyDescent="0.3">
      <c r="B273" s="21"/>
      <c r="D273" s="87"/>
      <c r="L273" s="77">
        <f t="shared" si="15"/>
        <v>0</v>
      </c>
      <c r="M273" s="78" t="str">
        <f t="shared" si="16"/>
        <v>BE</v>
      </c>
      <c r="N273" s="79">
        <f t="shared" si="17"/>
        <v>0</v>
      </c>
    </row>
    <row r="274" spans="2:14" x14ac:dyDescent="0.3">
      <c r="B274" s="21"/>
      <c r="D274" s="87"/>
      <c r="L274" s="77">
        <f t="shared" si="15"/>
        <v>0</v>
      </c>
      <c r="M274" s="78" t="str">
        <f t="shared" si="16"/>
        <v>BE</v>
      </c>
      <c r="N274" s="79">
        <f t="shared" si="17"/>
        <v>0</v>
      </c>
    </row>
    <row r="275" spans="2:14" x14ac:dyDescent="0.3">
      <c r="B275" s="21"/>
      <c r="D275" s="87"/>
      <c r="L275" s="77">
        <f t="shared" si="15"/>
        <v>0</v>
      </c>
      <c r="M275" s="78" t="str">
        <f t="shared" si="16"/>
        <v>BE</v>
      </c>
      <c r="N275" s="79">
        <f t="shared" si="17"/>
        <v>0</v>
      </c>
    </row>
    <row r="276" spans="2:14" x14ac:dyDescent="0.3">
      <c r="B276" s="21"/>
      <c r="D276" s="87"/>
      <c r="L276" s="77">
        <f t="shared" si="15"/>
        <v>0</v>
      </c>
      <c r="M276" s="78" t="str">
        <f t="shared" si="16"/>
        <v>BE</v>
      </c>
      <c r="N276" s="79">
        <f t="shared" si="17"/>
        <v>0</v>
      </c>
    </row>
    <row r="277" spans="2:14" x14ac:dyDescent="0.3">
      <c r="B277" s="21"/>
      <c r="D277" s="87"/>
      <c r="L277" s="77">
        <f t="shared" si="15"/>
        <v>0</v>
      </c>
      <c r="M277" s="78" t="str">
        <f t="shared" si="16"/>
        <v>BE</v>
      </c>
      <c r="N277" s="79">
        <f t="shared" si="17"/>
        <v>0</v>
      </c>
    </row>
    <row r="278" spans="2:14" x14ac:dyDescent="0.3">
      <c r="B278" s="21"/>
      <c r="D278" s="87"/>
      <c r="L278" s="77">
        <f t="shared" si="15"/>
        <v>0</v>
      </c>
      <c r="M278" s="78" t="str">
        <f t="shared" si="16"/>
        <v>BE</v>
      </c>
      <c r="N278" s="79">
        <f t="shared" si="17"/>
        <v>0</v>
      </c>
    </row>
    <row r="279" spans="2:14" x14ac:dyDescent="0.3">
      <c r="B279" s="21"/>
      <c r="D279" s="87"/>
      <c r="L279" s="77">
        <f t="shared" si="15"/>
        <v>0</v>
      </c>
      <c r="M279" s="78" t="str">
        <f t="shared" si="16"/>
        <v>BE</v>
      </c>
      <c r="N279" s="79">
        <f t="shared" si="17"/>
        <v>0</v>
      </c>
    </row>
    <row r="280" spans="2:14" x14ac:dyDescent="0.3">
      <c r="B280" s="21"/>
      <c r="D280" s="87"/>
      <c r="L280" s="77">
        <f t="shared" si="15"/>
        <v>0</v>
      </c>
      <c r="M280" s="78" t="str">
        <f t="shared" si="16"/>
        <v>BE</v>
      </c>
      <c r="N280" s="79">
        <f t="shared" si="17"/>
        <v>0</v>
      </c>
    </row>
    <row r="281" spans="2:14" x14ac:dyDescent="0.3">
      <c r="B281" s="21"/>
      <c r="D281" s="87"/>
      <c r="L281" s="77">
        <f t="shared" si="15"/>
        <v>0</v>
      </c>
      <c r="M281" s="78" t="str">
        <f t="shared" si="16"/>
        <v>BE</v>
      </c>
      <c r="N281" s="79">
        <f t="shared" si="17"/>
        <v>0</v>
      </c>
    </row>
    <row r="282" spans="2:14" x14ac:dyDescent="0.3">
      <c r="B282" s="21"/>
      <c r="D282" s="87"/>
      <c r="L282" s="77">
        <f t="shared" si="15"/>
        <v>0</v>
      </c>
      <c r="M282" s="78" t="str">
        <f t="shared" si="16"/>
        <v>BE</v>
      </c>
      <c r="N282" s="79">
        <f t="shared" si="17"/>
        <v>0</v>
      </c>
    </row>
    <row r="283" spans="2:14" x14ac:dyDescent="0.3">
      <c r="B283" s="21"/>
      <c r="D283" s="87"/>
      <c r="L283" s="77">
        <f t="shared" si="15"/>
        <v>0</v>
      </c>
      <c r="M283" s="78" t="str">
        <f t="shared" si="16"/>
        <v>BE</v>
      </c>
      <c r="N283" s="79">
        <f t="shared" si="17"/>
        <v>0</v>
      </c>
    </row>
    <row r="284" spans="2:14" x14ac:dyDescent="0.3">
      <c r="B284" s="21"/>
      <c r="D284" s="87"/>
      <c r="L284" s="77">
        <f t="shared" si="15"/>
        <v>0</v>
      </c>
      <c r="M284" s="78" t="str">
        <f t="shared" si="16"/>
        <v>BE</v>
      </c>
      <c r="N284" s="79">
        <f t="shared" si="17"/>
        <v>0</v>
      </c>
    </row>
    <row r="285" spans="2:14" x14ac:dyDescent="0.3">
      <c r="B285" s="21"/>
      <c r="D285" s="87"/>
      <c r="L285" s="77">
        <f t="shared" si="15"/>
        <v>0</v>
      </c>
      <c r="M285" s="78" t="str">
        <f t="shared" si="16"/>
        <v>BE</v>
      </c>
      <c r="N285" s="79">
        <f t="shared" si="17"/>
        <v>0</v>
      </c>
    </row>
    <row r="286" spans="2:14" x14ac:dyDescent="0.3">
      <c r="B286" s="21"/>
      <c r="D286" s="87"/>
      <c r="L286" s="77">
        <f t="shared" si="15"/>
        <v>0</v>
      </c>
      <c r="M286" s="78" t="str">
        <f t="shared" si="16"/>
        <v>BE</v>
      </c>
      <c r="N286" s="79">
        <f t="shared" si="17"/>
        <v>0</v>
      </c>
    </row>
    <row r="287" spans="2:14" x14ac:dyDescent="0.3">
      <c r="B287" s="21"/>
      <c r="D287" s="87"/>
      <c r="L287" s="77">
        <f t="shared" si="15"/>
        <v>0</v>
      </c>
      <c r="M287" s="78" t="str">
        <f t="shared" si="16"/>
        <v>BE</v>
      </c>
      <c r="N287" s="79">
        <f t="shared" si="17"/>
        <v>0</v>
      </c>
    </row>
    <row r="288" spans="2:14" x14ac:dyDescent="0.3">
      <c r="B288" s="21"/>
      <c r="D288" s="87"/>
      <c r="L288" s="77">
        <f t="shared" si="15"/>
        <v>0</v>
      </c>
      <c r="M288" s="78" t="str">
        <f t="shared" si="16"/>
        <v>BE</v>
      </c>
      <c r="N288" s="79">
        <f t="shared" si="17"/>
        <v>0</v>
      </c>
    </row>
    <row r="289" spans="2:14" x14ac:dyDescent="0.3">
      <c r="B289" s="21"/>
      <c r="D289" s="87"/>
      <c r="L289" s="77">
        <f t="shared" si="15"/>
        <v>0</v>
      </c>
      <c r="M289" s="78" t="str">
        <f t="shared" si="16"/>
        <v>BE</v>
      </c>
      <c r="N289" s="79">
        <f t="shared" si="17"/>
        <v>0</v>
      </c>
    </row>
    <row r="290" spans="2:14" x14ac:dyDescent="0.3">
      <c r="B290" s="21"/>
      <c r="D290" s="87"/>
      <c r="L290" s="77">
        <f t="shared" si="15"/>
        <v>0</v>
      </c>
      <c r="M290" s="78" t="str">
        <f t="shared" si="16"/>
        <v>BE</v>
      </c>
      <c r="N290" s="79">
        <f t="shared" si="17"/>
        <v>0</v>
      </c>
    </row>
    <row r="291" spans="2:14" x14ac:dyDescent="0.3">
      <c r="B291" s="21"/>
      <c r="D291" s="87"/>
      <c r="L291" s="77">
        <f t="shared" si="15"/>
        <v>0</v>
      </c>
      <c r="M291" s="78" t="str">
        <f t="shared" si="16"/>
        <v>BE</v>
      </c>
      <c r="N291" s="79">
        <f t="shared" si="17"/>
        <v>0</v>
      </c>
    </row>
    <row r="292" spans="2:14" x14ac:dyDescent="0.3">
      <c r="B292" s="21"/>
      <c r="D292" s="87"/>
      <c r="L292" s="77">
        <f t="shared" si="15"/>
        <v>0</v>
      </c>
      <c r="M292" s="78" t="str">
        <f t="shared" si="16"/>
        <v>BE</v>
      </c>
      <c r="N292" s="79">
        <f t="shared" si="17"/>
        <v>0</v>
      </c>
    </row>
    <row r="293" spans="2:14" x14ac:dyDescent="0.3">
      <c r="B293" s="21"/>
      <c r="D293" s="87"/>
      <c r="L293" s="77">
        <f t="shared" si="15"/>
        <v>0</v>
      </c>
      <c r="M293" s="78" t="str">
        <f t="shared" si="16"/>
        <v>BE</v>
      </c>
      <c r="N293" s="79">
        <f t="shared" si="17"/>
        <v>0</v>
      </c>
    </row>
    <row r="294" spans="2:14" x14ac:dyDescent="0.3">
      <c r="B294" s="21"/>
      <c r="D294" s="87"/>
      <c r="L294" s="77">
        <f t="shared" si="15"/>
        <v>0</v>
      </c>
      <c r="M294" s="78" t="str">
        <f t="shared" si="16"/>
        <v>BE</v>
      </c>
      <c r="N294" s="79">
        <f t="shared" si="17"/>
        <v>0</v>
      </c>
    </row>
    <row r="295" spans="2:14" x14ac:dyDescent="0.3">
      <c r="B295" s="21"/>
      <c r="D295" s="87"/>
      <c r="L295" s="77">
        <f t="shared" si="15"/>
        <v>0</v>
      </c>
      <c r="M295" s="78" t="str">
        <f t="shared" si="16"/>
        <v>BE</v>
      </c>
      <c r="N295" s="79">
        <f t="shared" si="17"/>
        <v>0</v>
      </c>
    </row>
    <row r="296" spans="2:14" x14ac:dyDescent="0.3">
      <c r="B296" s="21"/>
      <c r="D296" s="87"/>
      <c r="L296" s="77">
        <f t="shared" si="15"/>
        <v>0</v>
      </c>
      <c r="M296" s="78" t="str">
        <f t="shared" si="16"/>
        <v>BE</v>
      </c>
      <c r="N296" s="79">
        <f t="shared" si="17"/>
        <v>0</v>
      </c>
    </row>
    <row r="297" spans="2:14" x14ac:dyDescent="0.3">
      <c r="B297" s="21"/>
      <c r="D297" s="87"/>
      <c r="L297" s="77">
        <f t="shared" si="15"/>
        <v>0</v>
      </c>
      <c r="M297" s="78" t="str">
        <f t="shared" si="16"/>
        <v>BE</v>
      </c>
      <c r="N297" s="79">
        <f t="shared" si="17"/>
        <v>0</v>
      </c>
    </row>
    <row r="298" spans="2:14" x14ac:dyDescent="0.3">
      <c r="B298" s="21"/>
      <c r="D298" s="87"/>
      <c r="L298" s="77">
        <f t="shared" si="15"/>
        <v>0</v>
      </c>
      <c r="M298" s="78" t="str">
        <f t="shared" si="16"/>
        <v>BE</v>
      </c>
      <c r="N298" s="79">
        <f t="shared" si="17"/>
        <v>0</v>
      </c>
    </row>
    <row r="299" spans="2:14" x14ac:dyDescent="0.3">
      <c r="B299" s="21"/>
      <c r="D299" s="87"/>
      <c r="L299" s="77">
        <f t="shared" si="15"/>
        <v>0</v>
      </c>
      <c r="M299" s="78" t="str">
        <f t="shared" si="16"/>
        <v>BE</v>
      </c>
      <c r="N299" s="79">
        <f t="shared" si="17"/>
        <v>0</v>
      </c>
    </row>
    <row r="300" spans="2:14" x14ac:dyDescent="0.3">
      <c r="B300" s="21"/>
      <c r="D300" s="87"/>
      <c r="L300" s="77">
        <f t="shared" si="15"/>
        <v>0</v>
      </c>
      <c r="M300" s="78" t="str">
        <f t="shared" si="16"/>
        <v>BE</v>
      </c>
      <c r="N300" s="79">
        <f t="shared" si="17"/>
        <v>0</v>
      </c>
    </row>
    <row r="301" spans="2:14" x14ac:dyDescent="0.3">
      <c r="B301" s="21"/>
      <c r="D301" s="87"/>
      <c r="L301" s="77">
        <f t="shared" si="15"/>
        <v>0</v>
      </c>
      <c r="M301" s="78" t="str">
        <f t="shared" si="16"/>
        <v>BE</v>
      </c>
      <c r="N301" s="79">
        <f t="shared" si="17"/>
        <v>0</v>
      </c>
    </row>
    <row r="302" spans="2:14" x14ac:dyDescent="0.3">
      <c r="B302" s="21"/>
      <c r="D302" s="87"/>
      <c r="L302" s="77">
        <f t="shared" si="15"/>
        <v>0</v>
      </c>
      <c r="M302" s="78" t="str">
        <f t="shared" si="16"/>
        <v>BE</v>
      </c>
      <c r="N302" s="79">
        <f t="shared" si="17"/>
        <v>0</v>
      </c>
    </row>
    <row r="303" spans="2:14" x14ac:dyDescent="0.3">
      <c r="B303" s="21"/>
      <c r="D303" s="87"/>
      <c r="L303" s="77">
        <f t="shared" si="15"/>
        <v>0</v>
      </c>
      <c r="M303" s="78" t="str">
        <f t="shared" si="16"/>
        <v>BE</v>
      </c>
      <c r="N303" s="79">
        <f t="shared" si="17"/>
        <v>0</v>
      </c>
    </row>
    <row r="304" spans="2:14" x14ac:dyDescent="0.3">
      <c r="B304" s="21"/>
      <c r="D304" s="87"/>
      <c r="L304" s="77">
        <f t="shared" si="15"/>
        <v>0</v>
      </c>
      <c r="M304" s="78" t="str">
        <f t="shared" si="16"/>
        <v>BE</v>
      </c>
      <c r="N304" s="79">
        <f t="shared" si="17"/>
        <v>0</v>
      </c>
    </row>
    <row r="305" spans="2:14" x14ac:dyDescent="0.3">
      <c r="B305" s="21"/>
      <c r="D305" s="87"/>
      <c r="L305" s="77">
        <f t="shared" si="15"/>
        <v>0</v>
      </c>
      <c r="M305" s="78" t="str">
        <f t="shared" si="16"/>
        <v>BE</v>
      </c>
      <c r="N305" s="79">
        <f t="shared" si="17"/>
        <v>0</v>
      </c>
    </row>
    <row r="306" spans="2:14" x14ac:dyDescent="0.3">
      <c r="B306" s="21"/>
      <c r="D306" s="87"/>
      <c r="L306" s="77">
        <f t="shared" si="15"/>
        <v>0</v>
      </c>
      <c r="M306" s="78" t="str">
        <f t="shared" si="16"/>
        <v>BE</v>
      </c>
      <c r="N306" s="79">
        <f t="shared" si="17"/>
        <v>0</v>
      </c>
    </row>
    <row r="307" spans="2:14" x14ac:dyDescent="0.3">
      <c r="B307" s="21"/>
      <c r="D307" s="87"/>
      <c r="L307" s="77">
        <f t="shared" si="15"/>
        <v>0</v>
      </c>
      <c r="M307" s="78" t="str">
        <f t="shared" si="16"/>
        <v>BE</v>
      </c>
      <c r="N307" s="79">
        <f t="shared" si="17"/>
        <v>0</v>
      </c>
    </row>
    <row r="308" spans="2:14" x14ac:dyDescent="0.3">
      <c r="B308" s="21"/>
      <c r="D308" s="87"/>
      <c r="L308" s="77">
        <f t="shared" si="15"/>
        <v>0</v>
      </c>
      <c r="M308" s="78" t="str">
        <f t="shared" si="16"/>
        <v>BE</v>
      </c>
      <c r="N308" s="79">
        <f t="shared" si="17"/>
        <v>0</v>
      </c>
    </row>
    <row r="309" spans="2:14" x14ac:dyDescent="0.3">
      <c r="B309" s="21"/>
      <c r="D309" s="87"/>
      <c r="L309" s="77">
        <f t="shared" si="15"/>
        <v>0</v>
      </c>
      <c r="M309" s="78" t="str">
        <f t="shared" si="16"/>
        <v>BE</v>
      </c>
      <c r="N309" s="79">
        <f t="shared" si="17"/>
        <v>0</v>
      </c>
    </row>
    <row r="310" spans="2:14" x14ac:dyDescent="0.3">
      <c r="B310" s="21"/>
      <c r="D310" s="87"/>
      <c r="L310" s="77">
        <f t="shared" si="15"/>
        <v>0</v>
      </c>
      <c r="M310" s="78" t="str">
        <f t="shared" si="16"/>
        <v>BE</v>
      </c>
      <c r="N310" s="79">
        <f t="shared" si="17"/>
        <v>0</v>
      </c>
    </row>
    <row r="311" spans="2:14" x14ac:dyDescent="0.3">
      <c r="B311" s="21"/>
      <c r="D311" s="87"/>
      <c r="L311" s="77">
        <f t="shared" si="15"/>
        <v>0</v>
      </c>
      <c r="M311" s="78" t="str">
        <f t="shared" si="16"/>
        <v>BE</v>
      </c>
      <c r="N311" s="79">
        <f t="shared" si="17"/>
        <v>0</v>
      </c>
    </row>
    <row r="312" spans="2:14" x14ac:dyDescent="0.3">
      <c r="B312" s="21"/>
      <c r="D312" s="87"/>
      <c r="L312" s="77">
        <f t="shared" si="15"/>
        <v>0</v>
      </c>
      <c r="M312" s="78" t="str">
        <f t="shared" si="16"/>
        <v>BE</v>
      </c>
      <c r="N312" s="79">
        <f t="shared" si="17"/>
        <v>0</v>
      </c>
    </row>
    <row r="313" spans="2:14" x14ac:dyDescent="0.3">
      <c r="B313" s="21"/>
      <c r="D313" s="87"/>
      <c r="L313" s="77">
        <f t="shared" si="15"/>
        <v>0</v>
      </c>
      <c r="M313" s="78" t="str">
        <f t="shared" si="16"/>
        <v>BE</v>
      </c>
      <c r="N313" s="79">
        <f t="shared" si="17"/>
        <v>0</v>
      </c>
    </row>
    <row r="314" spans="2:14" x14ac:dyDescent="0.3">
      <c r="B314" s="21"/>
      <c r="D314" s="87"/>
      <c r="L314" s="77">
        <f t="shared" si="15"/>
        <v>0</v>
      </c>
      <c r="M314" s="78" t="str">
        <f t="shared" si="16"/>
        <v>BE</v>
      </c>
      <c r="N314" s="79">
        <f t="shared" si="17"/>
        <v>0</v>
      </c>
    </row>
    <row r="315" spans="2:14" x14ac:dyDescent="0.3">
      <c r="B315" s="21"/>
      <c r="D315" s="87"/>
      <c r="L315" s="77">
        <f t="shared" si="15"/>
        <v>0</v>
      </c>
      <c r="M315" s="78" t="str">
        <f t="shared" si="16"/>
        <v>BE</v>
      </c>
      <c r="N315" s="79">
        <f t="shared" si="17"/>
        <v>0</v>
      </c>
    </row>
    <row r="316" spans="2:14" x14ac:dyDescent="0.3">
      <c r="B316" s="21"/>
      <c r="D316" s="87"/>
      <c r="L316" s="77">
        <f t="shared" si="15"/>
        <v>0</v>
      </c>
      <c r="M316" s="78" t="str">
        <f t="shared" si="16"/>
        <v>BE</v>
      </c>
      <c r="N316" s="79">
        <f t="shared" si="17"/>
        <v>0</v>
      </c>
    </row>
    <row r="317" spans="2:14" x14ac:dyDescent="0.3">
      <c r="B317" s="21"/>
      <c r="D317" s="87"/>
      <c r="L317" s="77">
        <f t="shared" si="15"/>
        <v>0</v>
      </c>
      <c r="M317" s="78" t="str">
        <f t="shared" si="16"/>
        <v>BE</v>
      </c>
      <c r="N317" s="79">
        <f t="shared" si="17"/>
        <v>0</v>
      </c>
    </row>
    <row r="318" spans="2:14" x14ac:dyDescent="0.3">
      <c r="B318" s="21"/>
      <c r="D318" s="87"/>
      <c r="L318" s="77">
        <f t="shared" si="15"/>
        <v>0</v>
      </c>
      <c r="M318" s="78" t="str">
        <f t="shared" si="16"/>
        <v>BE</v>
      </c>
      <c r="N318" s="79">
        <f t="shared" si="17"/>
        <v>0</v>
      </c>
    </row>
    <row r="319" spans="2:14" x14ac:dyDescent="0.3">
      <c r="B319" s="21"/>
      <c r="D319" s="87"/>
      <c r="L319" s="77">
        <f t="shared" si="15"/>
        <v>0</v>
      </c>
      <c r="M319" s="78" t="str">
        <f t="shared" si="16"/>
        <v>BE</v>
      </c>
      <c r="N319" s="79">
        <f t="shared" si="17"/>
        <v>0</v>
      </c>
    </row>
    <row r="320" spans="2:14" x14ac:dyDescent="0.3">
      <c r="B320" s="21"/>
      <c r="D320" s="87"/>
      <c r="L320" s="77">
        <f t="shared" si="15"/>
        <v>0</v>
      </c>
      <c r="M320" s="78" t="str">
        <f t="shared" si="16"/>
        <v>BE</v>
      </c>
      <c r="N320" s="79">
        <f t="shared" si="17"/>
        <v>0</v>
      </c>
    </row>
    <row r="321" spans="2:14" x14ac:dyDescent="0.3">
      <c r="B321" s="21"/>
      <c r="D321" s="87"/>
      <c r="L321" s="77">
        <f t="shared" si="15"/>
        <v>0</v>
      </c>
      <c r="M321" s="78" t="str">
        <f t="shared" si="16"/>
        <v>BE</v>
      </c>
      <c r="N321" s="79">
        <f t="shared" si="17"/>
        <v>0</v>
      </c>
    </row>
    <row r="322" spans="2:14" x14ac:dyDescent="0.3">
      <c r="B322" s="21"/>
      <c r="D322" s="87"/>
      <c r="L322" s="77">
        <f t="shared" si="15"/>
        <v>0</v>
      </c>
      <c r="M322" s="78" t="str">
        <f t="shared" si="16"/>
        <v>BE</v>
      </c>
      <c r="N322" s="79">
        <f t="shared" si="17"/>
        <v>0</v>
      </c>
    </row>
    <row r="323" spans="2:14" x14ac:dyDescent="0.3">
      <c r="B323" s="21"/>
      <c r="D323" s="87"/>
      <c r="L323" s="77">
        <f t="shared" ref="L323:L386" si="18">IF(ISBLANK(K323),IF(H323="Long",(J323-I323)*G323,(I323-J323)*G323),IF(H323="Long",(J323-I323)*(G323/2)+(K323-I323)*(G323/2),(I323-J323)*(G323/2)+(I323-K323)*(G323/2)))</f>
        <v>0</v>
      </c>
      <c r="M323" s="78" t="str">
        <f t="shared" ref="M323:M386" si="19">_xlfn.IFS(L323&gt;0,"win",L323&lt;0,"lose",L323=0,"BE")</f>
        <v>BE</v>
      </c>
      <c r="N323" s="79">
        <f t="shared" si="17"/>
        <v>0</v>
      </c>
    </row>
    <row r="324" spans="2:14" x14ac:dyDescent="0.3">
      <c r="B324" s="21"/>
      <c r="D324" s="87"/>
      <c r="L324" s="77">
        <f t="shared" si="18"/>
        <v>0</v>
      </c>
      <c r="M324" s="78" t="str">
        <f t="shared" si="19"/>
        <v>BE</v>
      </c>
      <c r="N324" s="79">
        <f t="shared" si="17"/>
        <v>0</v>
      </c>
    </row>
    <row r="325" spans="2:14" x14ac:dyDescent="0.3">
      <c r="B325" s="21"/>
      <c r="D325" s="87"/>
      <c r="L325" s="77">
        <f t="shared" si="18"/>
        <v>0</v>
      </c>
      <c r="M325" s="78" t="str">
        <f t="shared" si="19"/>
        <v>BE</v>
      </c>
      <c r="N325" s="79">
        <f t="shared" ref="N325:N364" si="20">L325+N324</f>
        <v>0</v>
      </c>
    </row>
    <row r="326" spans="2:14" x14ac:dyDescent="0.3">
      <c r="B326" s="21"/>
      <c r="D326" s="87"/>
      <c r="L326" s="77">
        <f t="shared" si="18"/>
        <v>0</v>
      </c>
      <c r="M326" s="78" t="str">
        <f t="shared" si="19"/>
        <v>BE</v>
      </c>
      <c r="N326" s="79">
        <f t="shared" si="20"/>
        <v>0</v>
      </c>
    </row>
    <row r="327" spans="2:14" x14ac:dyDescent="0.3">
      <c r="B327" s="21"/>
      <c r="D327" s="87"/>
      <c r="L327" s="77">
        <f t="shared" si="18"/>
        <v>0</v>
      </c>
      <c r="M327" s="78" t="str">
        <f t="shared" si="19"/>
        <v>BE</v>
      </c>
      <c r="N327" s="79">
        <f t="shared" si="20"/>
        <v>0</v>
      </c>
    </row>
    <row r="328" spans="2:14" x14ac:dyDescent="0.3">
      <c r="B328" s="21"/>
      <c r="D328" s="87"/>
      <c r="L328" s="77">
        <f t="shared" si="18"/>
        <v>0</v>
      </c>
      <c r="M328" s="78" t="str">
        <f t="shared" si="19"/>
        <v>BE</v>
      </c>
      <c r="N328" s="79">
        <f t="shared" si="20"/>
        <v>0</v>
      </c>
    </row>
    <row r="329" spans="2:14" x14ac:dyDescent="0.3">
      <c r="B329" s="21"/>
      <c r="D329" s="87"/>
      <c r="L329" s="77">
        <f t="shared" si="18"/>
        <v>0</v>
      </c>
      <c r="M329" s="78" t="str">
        <f t="shared" si="19"/>
        <v>BE</v>
      </c>
      <c r="N329" s="79">
        <f t="shared" si="20"/>
        <v>0</v>
      </c>
    </row>
    <row r="330" spans="2:14" x14ac:dyDescent="0.3">
      <c r="B330" s="21"/>
      <c r="D330" s="87"/>
      <c r="L330" s="77">
        <f t="shared" si="18"/>
        <v>0</v>
      </c>
      <c r="M330" s="78" t="str">
        <f t="shared" si="19"/>
        <v>BE</v>
      </c>
      <c r="N330" s="79">
        <f t="shared" si="20"/>
        <v>0</v>
      </c>
    </row>
    <row r="331" spans="2:14" x14ac:dyDescent="0.3">
      <c r="B331" s="21"/>
      <c r="D331" s="87"/>
      <c r="L331" s="77">
        <f t="shared" si="18"/>
        <v>0</v>
      </c>
      <c r="M331" s="78" t="str">
        <f t="shared" si="19"/>
        <v>BE</v>
      </c>
      <c r="N331" s="79">
        <f t="shared" si="20"/>
        <v>0</v>
      </c>
    </row>
    <row r="332" spans="2:14" x14ac:dyDescent="0.3">
      <c r="B332" s="21"/>
      <c r="D332" s="87"/>
      <c r="L332" s="77">
        <f t="shared" si="18"/>
        <v>0</v>
      </c>
      <c r="M332" s="78" t="str">
        <f t="shared" si="19"/>
        <v>BE</v>
      </c>
      <c r="N332" s="79">
        <f t="shared" si="20"/>
        <v>0</v>
      </c>
    </row>
    <row r="333" spans="2:14" x14ac:dyDescent="0.3">
      <c r="B333" s="21"/>
      <c r="D333" s="87"/>
      <c r="L333" s="77">
        <f t="shared" si="18"/>
        <v>0</v>
      </c>
      <c r="M333" s="78" t="str">
        <f t="shared" si="19"/>
        <v>BE</v>
      </c>
      <c r="N333" s="79">
        <f t="shared" si="20"/>
        <v>0</v>
      </c>
    </row>
    <row r="334" spans="2:14" x14ac:dyDescent="0.3">
      <c r="B334" s="21"/>
      <c r="D334" s="87"/>
      <c r="L334" s="77">
        <f t="shared" si="18"/>
        <v>0</v>
      </c>
      <c r="M334" s="78" t="str">
        <f t="shared" si="19"/>
        <v>BE</v>
      </c>
      <c r="N334" s="79">
        <f t="shared" si="20"/>
        <v>0</v>
      </c>
    </row>
    <row r="335" spans="2:14" x14ac:dyDescent="0.3">
      <c r="B335" s="21"/>
      <c r="D335" s="87"/>
      <c r="L335" s="77">
        <f t="shared" si="18"/>
        <v>0</v>
      </c>
      <c r="M335" s="78" t="str">
        <f t="shared" si="19"/>
        <v>BE</v>
      </c>
      <c r="N335" s="79">
        <f t="shared" si="20"/>
        <v>0</v>
      </c>
    </row>
    <row r="336" spans="2:14" x14ac:dyDescent="0.3">
      <c r="B336" s="21"/>
      <c r="D336" s="87"/>
      <c r="L336" s="77">
        <f t="shared" si="18"/>
        <v>0</v>
      </c>
      <c r="M336" s="78" t="str">
        <f t="shared" si="19"/>
        <v>BE</v>
      </c>
      <c r="N336" s="79">
        <f t="shared" si="20"/>
        <v>0</v>
      </c>
    </row>
    <row r="337" spans="2:14" x14ac:dyDescent="0.3">
      <c r="B337" s="21"/>
      <c r="D337" s="87"/>
      <c r="L337" s="77">
        <f t="shared" si="18"/>
        <v>0</v>
      </c>
      <c r="M337" s="78" t="str">
        <f t="shared" si="19"/>
        <v>BE</v>
      </c>
      <c r="N337" s="79">
        <f t="shared" si="20"/>
        <v>0</v>
      </c>
    </row>
    <row r="338" spans="2:14" x14ac:dyDescent="0.3">
      <c r="B338" s="21"/>
      <c r="D338" s="87"/>
      <c r="L338" s="77">
        <f t="shared" si="18"/>
        <v>0</v>
      </c>
      <c r="M338" s="78" t="str">
        <f t="shared" si="19"/>
        <v>BE</v>
      </c>
      <c r="N338" s="79">
        <f t="shared" si="20"/>
        <v>0</v>
      </c>
    </row>
    <row r="339" spans="2:14" x14ac:dyDescent="0.3">
      <c r="B339" s="21"/>
      <c r="D339" s="87"/>
      <c r="L339" s="77">
        <f t="shared" si="18"/>
        <v>0</v>
      </c>
      <c r="M339" s="78" t="str">
        <f t="shared" si="19"/>
        <v>BE</v>
      </c>
      <c r="N339" s="79">
        <f t="shared" si="20"/>
        <v>0</v>
      </c>
    </row>
    <row r="340" spans="2:14" x14ac:dyDescent="0.3">
      <c r="B340" s="21"/>
      <c r="D340" s="87"/>
      <c r="L340" s="77">
        <f t="shared" si="18"/>
        <v>0</v>
      </c>
      <c r="M340" s="78" t="str">
        <f t="shared" si="19"/>
        <v>BE</v>
      </c>
      <c r="N340" s="79">
        <f t="shared" si="20"/>
        <v>0</v>
      </c>
    </row>
    <row r="341" spans="2:14" x14ac:dyDescent="0.3">
      <c r="B341" s="21"/>
      <c r="D341" s="87"/>
      <c r="L341" s="77">
        <f t="shared" si="18"/>
        <v>0</v>
      </c>
      <c r="M341" s="78" t="str">
        <f t="shared" si="19"/>
        <v>BE</v>
      </c>
      <c r="N341" s="79">
        <f t="shared" si="20"/>
        <v>0</v>
      </c>
    </row>
    <row r="342" spans="2:14" x14ac:dyDescent="0.3">
      <c r="B342" s="21"/>
      <c r="D342" s="87"/>
      <c r="L342" s="77">
        <f t="shared" si="18"/>
        <v>0</v>
      </c>
      <c r="M342" s="78" t="str">
        <f t="shared" si="19"/>
        <v>BE</v>
      </c>
      <c r="N342" s="79">
        <f t="shared" si="20"/>
        <v>0</v>
      </c>
    </row>
    <row r="343" spans="2:14" x14ac:dyDescent="0.3">
      <c r="B343" s="21"/>
      <c r="D343" s="87"/>
      <c r="L343" s="77">
        <f t="shared" si="18"/>
        <v>0</v>
      </c>
      <c r="M343" s="78" t="str">
        <f t="shared" si="19"/>
        <v>BE</v>
      </c>
      <c r="N343" s="79">
        <f t="shared" si="20"/>
        <v>0</v>
      </c>
    </row>
    <row r="344" spans="2:14" x14ac:dyDescent="0.3">
      <c r="B344" s="21"/>
      <c r="D344" s="87"/>
      <c r="L344" s="77">
        <f t="shared" si="18"/>
        <v>0</v>
      </c>
      <c r="M344" s="78" t="str">
        <f t="shared" si="19"/>
        <v>BE</v>
      </c>
      <c r="N344" s="79">
        <f t="shared" si="20"/>
        <v>0</v>
      </c>
    </row>
    <row r="345" spans="2:14" x14ac:dyDescent="0.3">
      <c r="B345" s="21"/>
      <c r="D345" s="87"/>
      <c r="L345" s="77">
        <f t="shared" si="18"/>
        <v>0</v>
      </c>
      <c r="M345" s="78" t="str">
        <f t="shared" si="19"/>
        <v>BE</v>
      </c>
      <c r="N345" s="79">
        <f t="shared" si="20"/>
        <v>0</v>
      </c>
    </row>
    <row r="346" spans="2:14" x14ac:dyDescent="0.3">
      <c r="B346" s="21"/>
      <c r="D346" s="87"/>
      <c r="L346" s="77">
        <f t="shared" si="18"/>
        <v>0</v>
      </c>
      <c r="M346" s="78" t="str">
        <f t="shared" si="19"/>
        <v>BE</v>
      </c>
      <c r="N346" s="79">
        <f t="shared" si="20"/>
        <v>0</v>
      </c>
    </row>
    <row r="347" spans="2:14" x14ac:dyDescent="0.3">
      <c r="B347" s="21"/>
      <c r="D347" s="87"/>
      <c r="L347" s="77">
        <f t="shared" si="18"/>
        <v>0</v>
      </c>
      <c r="M347" s="78" t="str">
        <f t="shared" si="19"/>
        <v>BE</v>
      </c>
      <c r="N347" s="79">
        <f t="shared" si="20"/>
        <v>0</v>
      </c>
    </row>
    <row r="348" spans="2:14" x14ac:dyDescent="0.3">
      <c r="B348" s="21"/>
      <c r="D348" s="87"/>
      <c r="L348" s="77">
        <f t="shared" si="18"/>
        <v>0</v>
      </c>
      <c r="M348" s="78" t="str">
        <f t="shared" si="19"/>
        <v>BE</v>
      </c>
      <c r="N348" s="79">
        <f t="shared" si="20"/>
        <v>0</v>
      </c>
    </row>
    <row r="349" spans="2:14" x14ac:dyDescent="0.3">
      <c r="B349" s="21"/>
      <c r="D349" s="87"/>
      <c r="L349" s="77">
        <f t="shared" si="18"/>
        <v>0</v>
      </c>
      <c r="M349" s="78" t="str">
        <f t="shared" si="19"/>
        <v>BE</v>
      </c>
      <c r="N349" s="79">
        <f t="shared" si="20"/>
        <v>0</v>
      </c>
    </row>
    <row r="350" spans="2:14" x14ac:dyDescent="0.3">
      <c r="B350" s="21"/>
      <c r="D350" s="87"/>
      <c r="L350" s="77">
        <f t="shared" si="18"/>
        <v>0</v>
      </c>
      <c r="M350" s="78" t="str">
        <f t="shared" si="19"/>
        <v>BE</v>
      </c>
      <c r="N350" s="79">
        <f t="shared" si="20"/>
        <v>0</v>
      </c>
    </row>
    <row r="351" spans="2:14" x14ac:dyDescent="0.3">
      <c r="B351" s="21"/>
      <c r="D351" s="87"/>
      <c r="L351" s="77">
        <f t="shared" si="18"/>
        <v>0</v>
      </c>
      <c r="M351" s="78" t="str">
        <f t="shared" si="19"/>
        <v>BE</v>
      </c>
      <c r="N351" s="79">
        <f t="shared" si="20"/>
        <v>0</v>
      </c>
    </row>
    <row r="352" spans="2:14" x14ac:dyDescent="0.3">
      <c r="B352" s="21"/>
      <c r="D352" s="87"/>
      <c r="L352" s="77">
        <f t="shared" si="18"/>
        <v>0</v>
      </c>
      <c r="M352" s="78" t="str">
        <f t="shared" si="19"/>
        <v>BE</v>
      </c>
      <c r="N352" s="79">
        <f t="shared" si="20"/>
        <v>0</v>
      </c>
    </row>
    <row r="353" spans="2:14" x14ac:dyDescent="0.3">
      <c r="B353" s="21"/>
      <c r="D353" s="87"/>
      <c r="L353" s="77">
        <f t="shared" si="18"/>
        <v>0</v>
      </c>
      <c r="M353" s="78" t="str">
        <f t="shared" si="19"/>
        <v>BE</v>
      </c>
      <c r="N353" s="79">
        <f t="shared" si="20"/>
        <v>0</v>
      </c>
    </row>
    <row r="354" spans="2:14" x14ac:dyDescent="0.3">
      <c r="B354" s="21"/>
      <c r="D354" s="87"/>
      <c r="L354" s="77">
        <f t="shared" si="18"/>
        <v>0</v>
      </c>
      <c r="M354" s="78" t="str">
        <f t="shared" si="19"/>
        <v>BE</v>
      </c>
      <c r="N354" s="79">
        <f t="shared" si="20"/>
        <v>0</v>
      </c>
    </row>
    <row r="355" spans="2:14" x14ac:dyDescent="0.3">
      <c r="B355" s="21"/>
      <c r="D355" s="87"/>
      <c r="L355" s="77">
        <f t="shared" si="18"/>
        <v>0</v>
      </c>
      <c r="M355" s="78" t="str">
        <f t="shared" si="19"/>
        <v>BE</v>
      </c>
      <c r="N355" s="79">
        <f t="shared" si="20"/>
        <v>0</v>
      </c>
    </row>
    <row r="356" spans="2:14" x14ac:dyDescent="0.3">
      <c r="B356" s="21"/>
      <c r="D356" s="87"/>
      <c r="L356" s="77">
        <f t="shared" si="18"/>
        <v>0</v>
      </c>
      <c r="M356" s="78" t="str">
        <f t="shared" si="19"/>
        <v>BE</v>
      </c>
      <c r="N356" s="79">
        <f t="shared" si="20"/>
        <v>0</v>
      </c>
    </row>
    <row r="357" spans="2:14" x14ac:dyDescent="0.3">
      <c r="B357" s="21"/>
      <c r="D357" s="87"/>
      <c r="L357" s="77">
        <f t="shared" si="18"/>
        <v>0</v>
      </c>
      <c r="M357" s="78" t="str">
        <f t="shared" si="19"/>
        <v>BE</v>
      </c>
      <c r="N357" s="79">
        <f t="shared" si="20"/>
        <v>0</v>
      </c>
    </row>
    <row r="358" spans="2:14" x14ac:dyDescent="0.3">
      <c r="B358" s="21"/>
      <c r="D358" s="87"/>
      <c r="L358" s="77">
        <f t="shared" si="18"/>
        <v>0</v>
      </c>
      <c r="M358" s="78" t="str">
        <f t="shared" si="19"/>
        <v>BE</v>
      </c>
      <c r="N358" s="79">
        <f t="shared" si="20"/>
        <v>0</v>
      </c>
    </row>
    <row r="359" spans="2:14" x14ac:dyDescent="0.3">
      <c r="B359" s="21"/>
      <c r="D359" s="87"/>
      <c r="L359" s="77">
        <f t="shared" si="18"/>
        <v>0</v>
      </c>
      <c r="M359" s="78" t="str">
        <f t="shared" si="19"/>
        <v>BE</v>
      </c>
      <c r="N359" s="79">
        <f t="shared" si="20"/>
        <v>0</v>
      </c>
    </row>
    <row r="360" spans="2:14" x14ac:dyDescent="0.3">
      <c r="B360" s="21"/>
      <c r="D360" s="87"/>
      <c r="L360" s="77">
        <f t="shared" si="18"/>
        <v>0</v>
      </c>
      <c r="M360" s="78" t="str">
        <f t="shared" si="19"/>
        <v>BE</v>
      </c>
      <c r="N360" s="79">
        <f t="shared" si="20"/>
        <v>0</v>
      </c>
    </row>
    <row r="361" spans="2:14" x14ac:dyDescent="0.3">
      <c r="B361" s="21"/>
      <c r="D361" s="87"/>
      <c r="L361" s="77">
        <f t="shared" si="18"/>
        <v>0</v>
      </c>
      <c r="M361" s="78" t="str">
        <f t="shared" si="19"/>
        <v>BE</v>
      </c>
      <c r="N361" s="79">
        <f t="shared" si="20"/>
        <v>0</v>
      </c>
    </row>
    <row r="362" spans="2:14" x14ac:dyDescent="0.3">
      <c r="B362" s="21"/>
      <c r="D362" s="87"/>
      <c r="L362" s="77">
        <f t="shared" si="18"/>
        <v>0</v>
      </c>
      <c r="M362" s="78" t="str">
        <f t="shared" si="19"/>
        <v>BE</v>
      </c>
      <c r="N362" s="79">
        <f t="shared" si="20"/>
        <v>0</v>
      </c>
    </row>
    <row r="363" spans="2:14" x14ac:dyDescent="0.3">
      <c r="B363" s="21"/>
      <c r="D363" s="87"/>
      <c r="L363" s="77">
        <f t="shared" si="18"/>
        <v>0</v>
      </c>
      <c r="M363" s="78" t="str">
        <f t="shared" si="19"/>
        <v>BE</v>
      </c>
      <c r="N363" s="79">
        <f t="shared" si="20"/>
        <v>0</v>
      </c>
    </row>
    <row r="364" spans="2:14" x14ac:dyDescent="0.3">
      <c r="B364" s="21"/>
      <c r="D364" s="87"/>
      <c r="L364" s="77">
        <f t="shared" si="18"/>
        <v>0</v>
      </c>
      <c r="M364" s="78" t="str">
        <f t="shared" si="19"/>
        <v>BE</v>
      </c>
      <c r="N364" s="79">
        <f t="shared" si="20"/>
        <v>0</v>
      </c>
    </row>
    <row r="365" spans="2:14" x14ac:dyDescent="0.3">
      <c r="D365" s="87"/>
      <c r="L365" s="77">
        <f t="shared" si="18"/>
        <v>0</v>
      </c>
      <c r="M365" s="78" t="str">
        <f t="shared" si="19"/>
        <v>BE</v>
      </c>
    </row>
    <row r="366" spans="2:14" x14ac:dyDescent="0.3">
      <c r="D366" s="87"/>
      <c r="L366" s="77">
        <f t="shared" si="18"/>
        <v>0</v>
      </c>
      <c r="M366" s="78" t="str">
        <f t="shared" si="19"/>
        <v>BE</v>
      </c>
    </row>
    <row r="367" spans="2:14" x14ac:dyDescent="0.3">
      <c r="D367" s="87"/>
      <c r="L367" s="77">
        <f t="shared" si="18"/>
        <v>0</v>
      </c>
      <c r="M367" s="78" t="str">
        <f t="shared" si="19"/>
        <v>BE</v>
      </c>
    </row>
    <row r="368" spans="2:14" x14ac:dyDescent="0.3">
      <c r="D368" s="87"/>
      <c r="L368" s="77">
        <f t="shared" si="18"/>
        <v>0</v>
      </c>
      <c r="M368" s="78" t="str">
        <f t="shared" si="19"/>
        <v>BE</v>
      </c>
    </row>
    <row r="369" spans="4:13" x14ac:dyDescent="0.3">
      <c r="D369" s="87"/>
      <c r="L369" s="77">
        <f t="shared" si="18"/>
        <v>0</v>
      </c>
      <c r="M369" s="78" t="str">
        <f t="shared" si="19"/>
        <v>BE</v>
      </c>
    </row>
    <row r="370" spans="4:13" x14ac:dyDescent="0.3">
      <c r="D370" s="87"/>
      <c r="L370" s="77">
        <f t="shared" si="18"/>
        <v>0</v>
      </c>
      <c r="M370" s="78" t="str">
        <f t="shared" si="19"/>
        <v>BE</v>
      </c>
    </row>
    <row r="371" spans="4:13" x14ac:dyDescent="0.3">
      <c r="D371" s="87"/>
      <c r="L371" s="77">
        <f t="shared" si="18"/>
        <v>0</v>
      </c>
      <c r="M371" s="78" t="str">
        <f t="shared" si="19"/>
        <v>BE</v>
      </c>
    </row>
    <row r="372" spans="4:13" x14ac:dyDescent="0.3">
      <c r="D372" s="87"/>
      <c r="L372" s="77">
        <f t="shared" si="18"/>
        <v>0</v>
      </c>
      <c r="M372" s="78" t="str">
        <f t="shared" si="19"/>
        <v>BE</v>
      </c>
    </row>
    <row r="373" spans="4:13" x14ac:dyDescent="0.3">
      <c r="D373" s="87"/>
      <c r="L373" s="77">
        <f t="shared" si="18"/>
        <v>0</v>
      </c>
      <c r="M373" s="78" t="str">
        <f t="shared" si="19"/>
        <v>BE</v>
      </c>
    </row>
    <row r="374" spans="4:13" x14ac:dyDescent="0.3">
      <c r="D374" s="87"/>
      <c r="L374" s="77">
        <f t="shared" si="18"/>
        <v>0</v>
      </c>
      <c r="M374" s="78" t="str">
        <f t="shared" si="19"/>
        <v>BE</v>
      </c>
    </row>
    <row r="375" spans="4:13" x14ac:dyDescent="0.3">
      <c r="D375" s="87"/>
      <c r="L375" s="77">
        <f t="shared" si="18"/>
        <v>0</v>
      </c>
      <c r="M375" s="78" t="str">
        <f t="shared" si="19"/>
        <v>BE</v>
      </c>
    </row>
    <row r="376" spans="4:13" x14ac:dyDescent="0.3">
      <c r="D376" s="87"/>
      <c r="L376" s="77">
        <f t="shared" si="18"/>
        <v>0</v>
      </c>
      <c r="M376" s="78" t="str">
        <f t="shared" si="19"/>
        <v>BE</v>
      </c>
    </row>
    <row r="377" spans="4:13" x14ac:dyDescent="0.3">
      <c r="D377" s="87"/>
      <c r="L377" s="77">
        <f t="shared" si="18"/>
        <v>0</v>
      </c>
      <c r="M377" s="78" t="str">
        <f t="shared" si="19"/>
        <v>BE</v>
      </c>
    </row>
    <row r="378" spans="4:13" x14ac:dyDescent="0.3">
      <c r="D378" s="87"/>
      <c r="L378" s="77">
        <f t="shared" si="18"/>
        <v>0</v>
      </c>
      <c r="M378" s="78" t="str">
        <f t="shared" si="19"/>
        <v>BE</v>
      </c>
    </row>
    <row r="379" spans="4:13" x14ac:dyDescent="0.3">
      <c r="D379" s="87"/>
      <c r="L379" s="77">
        <f t="shared" si="18"/>
        <v>0</v>
      </c>
      <c r="M379" s="78" t="str">
        <f t="shared" si="19"/>
        <v>BE</v>
      </c>
    </row>
    <row r="380" spans="4:13" x14ac:dyDescent="0.3">
      <c r="D380" s="87"/>
      <c r="L380" s="77">
        <f t="shared" si="18"/>
        <v>0</v>
      </c>
      <c r="M380" s="78" t="str">
        <f t="shared" si="19"/>
        <v>BE</v>
      </c>
    </row>
    <row r="381" spans="4:13" x14ac:dyDescent="0.3">
      <c r="D381" s="87"/>
      <c r="L381" s="77">
        <f t="shared" si="18"/>
        <v>0</v>
      </c>
      <c r="M381" s="78" t="str">
        <f t="shared" si="19"/>
        <v>BE</v>
      </c>
    </row>
    <row r="382" spans="4:13" x14ac:dyDescent="0.3">
      <c r="D382" s="87"/>
      <c r="L382" s="77">
        <f t="shared" si="18"/>
        <v>0</v>
      </c>
      <c r="M382" s="78" t="str">
        <f t="shared" si="19"/>
        <v>BE</v>
      </c>
    </row>
    <row r="383" spans="4:13" x14ac:dyDescent="0.3">
      <c r="D383" s="87"/>
      <c r="L383" s="77">
        <f t="shared" si="18"/>
        <v>0</v>
      </c>
      <c r="M383" s="78" t="str">
        <f t="shared" si="19"/>
        <v>BE</v>
      </c>
    </row>
    <row r="384" spans="4:13" x14ac:dyDescent="0.3">
      <c r="D384" s="87"/>
      <c r="L384" s="77">
        <f t="shared" si="18"/>
        <v>0</v>
      </c>
      <c r="M384" s="78" t="str">
        <f t="shared" si="19"/>
        <v>BE</v>
      </c>
    </row>
    <row r="385" spans="4:13" x14ac:dyDescent="0.3">
      <c r="D385" s="87"/>
      <c r="L385" s="77">
        <f t="shared" si="18"/>
        <v>0</v>
      </c>
      <c r="M385" s="78" t="str">
        <f t="shared" si="19"/>
        <v>BE</v>
      </c>
    </row>
    <row r="386" spans="4:13" x14ac:dyDescent="0.3">
      <c r="L386" s="77">
        <f t="shared" si="18"/>
        <v>0</v>
      </c>
      <c r="M386" s="78" t="str">
        <f t="shared" si="19"/>
        <v>BE</v>
      </c>
    </row>
    <row r="387" spans="4:13" x14ac:dyDescent="0.3">
      <c r="L387" s="77">
        <f t="shared" ref="L387:L450" si="21">IF(ISBLANK(K387),IF(H387="Long",(J387-I387)*G387,(I387-J387)*G387),IF(H387="Long",(J387-I387)*(G387/2)+(K387-I387)*(G387/2),(I387-J387)*(G387/2)+(I387-K387)*(G387/2)))</f>
        <v>0</v>
      </c>
      <c r="M387" s="78" t="str">
        <f t="shared" ref="M387:M450" si="22">_xlfn.IFS(L387&gt;0,"win",L387&lt;0,"lose",L387=0,"BE")</f>
        <v>BE</v>
      </c>
    </row>
    <row r="388" spans="4:13" x14ac:dyDescent="0.3">
      <c r="L388" s="77">
        <f t="shared" si="21"/>
        <v>0</v>
      </c>
      <c r="M388" s="78" t="str">
        <f t="shared" si="22"/>
        <v>BE</v>
      </c>
    </row>
    <row r="389" spans="4:13" x14ac:dyDescent="0.3">
      <c r="L389" s="77">
        <f t="shared" si="21"/>
        <v>0</v>
      </c>
      <c r="M389" s="78" t="str">
        <f t="shared" si="22"/>
        <v>BE</v>
      </c>
    </row>
    <row r="390" spans="4:13" x14ac:dyDescent="0.3">
      <c r="L390" s="77">
        <f t="shared" si="21"/>
        <v>0</v>
      </c>
      <c r="M390" s="78" t="str">
        <f t="shared" si="22"/>
        <v>BE</v>
      </c>
    </row>
    <row r="391" spans="4:13" x14ac:dyDescent="0.3">
      <c r="L391" s="77">
        <f t="shared" si="21"/>
        <v>0</v>
      </c>
      <c r="M391" s="78" t="str">
        <f t="shared" si="22"/>
        <v>BE</v>
      </c>
    </row>
    <row r="392" spans="4:13" x14ac:dyDescent="0.3">
      <c r="L392" s="77">
        <f t="shared" si="21"/>
        <v>0</v>
      </c>
      <c r="M392" s="78" t="str">
        <f t="shared" si="22"/>
        <v>BE</v>
      </c>
    </row>
    <row r="393" spans="4:13" x14ac:dyDescent="0.3">
      <c r="L393" s="77">
        <f t="shared" si="21"/>
        <v>0</v>
      </c>
      <c r="M393" s="78" t="str">
        <f t="shared" si="22"/>
        <v>BE</v>
      </c>
    </row>
    <row r="394" spans="4:13" x14ac:dyDescent="0.3">
      <c r="L394" s="77">
        <f t="shared" si="21"/>
        <v>0</v>
      </c>
      <c r="M394" s="78" t="str">
        <f t="shared" si="22"/>
        <v>BE</v>
      </c>
    </row>
    <row r="395" spans="4:13" x14ac:dyDescent="0.3">
      <c r="L395" s="77">
        <f t="shared" si="21"/>
        <v>0</v>
      </c>
      <c r="M395" s="78" t="str">
        <f t="shared" si="22"/>
        <v>BE</v>
      </c>
    </row>
    <row r="396" spans="4:13" x14ac:dyDescent="0.3">
      <c r="L396" s="77">
        <f t="shared" si="21"/>
        <v>0</v>
      </c>
      <c r="M396" s="78" t="str">
        <f t="shared" si="22"/>
        <v>BE</v>
      </c>
    </row>
    <row r="397" spans="4:13" x14ac:dyDescent="0.3">
      <c r="L397" s="77">
        <f t="shared" si="21"/>
        <v>0</v>
      </c>
      <c r="M397" s="78" t="str">
        <f t="shared" si="22"/>
        <v>BE</v>
      </c>
    </row>
    <row r="398" spans="4:13" x14ac:dyDescent="0.3">
      <c r="L398" s="77">
        <f t="shared" si="21"/>
        <v>0</v>
      </c>
      <c r="M398" s="78" t="str">
        <f t="shared" si="22"/>
        <v>BE</v>
      </c>
    </row>
    <row r="399" spans="4:13" x14ac:dyDescent="0.3">
      <c r="L399" s="77">
        <f t="shared" si="21"/>
        <v>0</v>
      </c>
      <c r="M399" s="78" t="str">
        <f t="shared" si="22"/>
        <v>BE</v>
      </c>
    </row>
    <row r="400" spans="4:13" x14ac:dyDescent="0.3">
      <c r="L400" s="77">
        <f t="shared" si="21"/>
        <v>0</v>
      </c>
      <c r="M400" s="78" t="str">
        <f t="shared" si="22"/>
        <v>BE</v>
      </c>
    </row>
    <row r="401" spans="12:13" x14ac:dyDescent="0.3">
      <c r="L401" s="77">
        <f t="shared" si="21"/>
        <v>0</v>
      </c>
      <c r="M401" s="78" t="str">
        <f t="shared" si="22"/>
        <v>BE</v>
      </c>
    </row>
    <row r="402" spans="12:13" x14ac:dyDescent="0.3">
      <c r="L402" s="77">
        <f t="shared" si="21"/>
        <v>0</v>
      </c>
      <c r="M402" s="78" t="str">
        <f t="shared" si="22"/>
        <v>BE</v>
      </c>
    </row>
    <row r="403" spans="12:13" x14ac:dyDescent="0.3">
      <c r="L403" s="77">
        <f t="shared" si="21"/>
        <v>0</v>
      </c>
      <c r="M403" s="78" t="str">
        <f t="shared" si="22"/>
        <v>BE</v>
      </c>
    </row>
    <row r="404" spans="12:13" x14ac:dyDescent="0.3">
      <c r="L404" s="77">
        <f t="shared" si="21"/>
        <v>0</v>
      </c>
      <c r="M404" s="78" t="str">
        <f t="shared" si="22"/>
        <v>BE</v>
      </c>
    </row>
    <row r="405" spans="12:13" x14ac:dyDescent="0.3">
      <c r="L405" s="77">
        <f t="shared" si="21"/>
        <v>0</v>
      </c>
      <c r="M405" s="78" t="str">
        <f t="shared" si="22"/>
        <v>BE</v>
      </c>
    </row>
    <row r="406" spans="12:13" x14ac:dyDescent="0.3">
      <c r="L406" s="77">
        <f t="shared" si="21"/>
        <v>0</v>
      </c>
      <c r="M406" s="78" t="str">
        <f t="shared" si="22"/>
        <v>BE</v>
      </c>
    </row>
    <row r="407" spans="12:13" x14ac:dyDescent="0.3">
      <c r="L407" s="77">
        <f t="shared" si="21"/>
        <v>0</v>
      </c>
      <c r="M407" s="78" t="str">
        <f t="shared" si="22"/>
        <v>BE</v>
      </c>
    </row>
    <row r="408" spans="12:13" x14ac:dyDescent="0.3">
      <c r="L408" s="77">
        <f t="shared" si="21"/>
        <v>0</v>
      </c>
      <c r="M408" s="78" t="str">
        <f t="shared" si="22"/>
        <v>BE</v>
      </c>
    </row>
    <row r="409" spans="12:13" x14ac:dyDescent="0.3">
      <c r="L409" s="77">
        <f t="shared" si="21"/>
        <v>0</v>
      </c>
      <c r="M409" s="78" t="str">
        <f t="shared" si="22"/>
        <v>BE</v>
      </c>
    </row>
    <row r="410" spans="12:13" x14ac:dyDescent="0.3">
      <c r="L410" s="77">
        <f t="shared" si="21"/>
        <v>0</v>
      </c>
      <c r="M410" s="78" t="str">
        <f t="shared" si="22"/>
        <v>BE</v>
      </c>
    </row>
    <row r="411" spans="12:13" x14ac:dyDescent="0.3">
      <c r="L411" s="77">
        <f t="shared" si="21"/>
        <v>0</v>
      </c>
      <c r="M411" s="78" t="str">
        <f t="shared" si="22"/>
        <v>BE</v>
      </c>
    </row>
    <row r="412" spans="12:13" x14ac:dyDescent="0.3">
      <c r="L412" s="77">
        <f t="shared" si="21"/>
        <v>0</v>
      </c>
      <c r="M412" s="78" t="str">
        <f t="shared" si="22"/>
        <v>BE</v>
      </c>
    </row>
    <row r="413" spans="12:13" x14ac:dyDescent="0.3">
      <c r="L413" s="77">
        <f t="shared" si="21"/>
        <v>0</v>
      </c>
      <c r="M413" s="78" t="str">
        <f t="shared" si="22"/>
        <v>BE</v>
      </c>
    </row>
    <row r="414" spans="12:13" x14ac:dyDescent="0.3">
      <c r="L414" s="77">
        <f t="shared" si="21"/>
        <v>0</v>
      </c>
      <c r="M414" s="78" t="str">
        <f t="shared" si="22"/>
        <v>BE</v>
      </c>
    </row>
    <row r="415" spans="12:13" x14ac:dyDescent="0.3">
      <c r="L415" s="77">
        <f t="shared" si="21"/>
        <v>0</v>
      </c>
      <c r="M415" s="78" t="str">
        <f t="shared" si="22"/>
        <v>BE</v>
      </c>
    </row>
    <row r="416" spans="12:13" x14ac:dyDescent="0.3">
      <c r="L416" s="77">
        <f t="shared" si="21"/>
        <v>0</v>
      </c>
      <c r="M416" s="78" t="str">
        <f t="shared" si="22"/>
        <v>BE</v>
      </c>
    </row>
    <row r="417" spans="12:13" x14ac:dyDescent="0.3">
      <c r="L417" s="77">
        <f t="shared" si="21"/>
        <v>0</v>
      </c>
      <c r="M417" s="78" t="str">
        <f t="shared" si="22"/>
        <v>BE</v>
      </c>
    </row>
    <row r="418" spans="12:13" x14ac:dyDescent="0.3">
      <c r="L418" s="77">
        <f t="shared" si="21"/>
        <v>0</v>
      </c>
      <c r="M418" s="78" t="str">
        <f t="shared" si="22"/>
        <v>BE</v>
      </c>
    </row>
    <row r="419" spans="12:13" x14ac:dyDescent="0.3">
      <c r="L419" s="77">
        <f t="shared" si="21"/>
        <v>0</v>
      </c>
      <c r="M419" s="78" t="str">
        <f t="shared" si="22"/>
        <v>BE</v>
      </c>
    </row>
    <row r="420" spans="12:13" x14ac:dyDescent="0.3">
      <c r="L420" s="77">
        <f t="shared" si="21"/>
        <v>0</v>
      </c>
      <c r="M420" s="78" t="str">
        <f t="shared" si="22"/>
        <v>BE</v>
      </c>
    </row>
    <row r="421" spans="12:13" x14ac:dyDescent="0.3">
      <c r="L421" s="77">
        <f t="shared" si="21"/>
        <v>0</v>
      </c>
      <c r="M421" s="78" t="str">
        <f t="shared" si="22"/>
        <v>BE</v>
      </c>
    </row>
    <row r="422" spans="12:13" x14ac:dyDescent="0.3">
      <c r="L422" s="77">
        <f t="shared" si="21"/>
        <v>0</v>
      </c>
      <c r="M422" s="78" t="str">
        <f t="shared" si="22"/>
        <v>BE</v>
      </c>
    </row>
    <row r="423" spans="12:13" x14ac:dyDescent="0.3">
      <c r="L423" s="77">
        <f t="shared" si="21"/>
        <v>0</v>
      </c>
      <c r="M423" s="78" t="str">
        <f t="shared" si="22"/>
        <v>BE</v>
      </c>
    </row>
    <row r="424" spans="12:13" x14ac:dyDescent="0.3">
      <c r="L424" s="77">
        <f t="shared" si="21"/>
        <v>0</v>
      </c>
      <c r="M424" s="78" t="str">
        <f t="shared" si="22"/>
        <v>BE</v>
      </c>
    </row>
    <row r="425" spans="12:13" x14ac:dyDescent="0.3">
      <c r="L425" s="77">
        <f t="shared" si="21"/>
        <v>0</v>
      </c>
      <c r="M425" s="78" t="str">
        <f t="shared" si="22"/>
        <v>BE</v>
      </c>
    </row>
    <row r="426" spans="12:13" x14ac:dyDescent="0.3">
      <c r="L426" s="77">
        <f t="shared" si="21"/>
        <v>0</v>
      </c>
      <c r="M426" s="78" t="str">
        <f t="shared" si="22"/>
        <v>BE</v>
      </c>
    </row>
    <row r="427" spans="12:13" x14ac:dyDescent="0.3">
      <c r="L427" s="77">
        <f t="shared" si="21"/>
        <v>0</v>
      </c>
      <c r="M427" s="78" t="str">
        <f t="shared" si="22"/>
        <v>BE</v>
      </c>
    </row>
    <row r="428" spans="12:13" x14ac:dyDescent="0.3">
      <c r="L428" s="77">
        <f t="shared" si="21"/>
        <v>0</v>
      </c>
      <c r="M428" s="78" t="str">
        <f t="shared" si="22"/>
        <v>BE</v>
      </c>
    </row>
    <row r="429" spans="12:13" x14ac:dyDescent="0.3">
      <c r="L429" s="77">
        <f t="shared" si="21"/>
        <v>0</v>
      </c>
      <c r="M429" s="78" t="str">
        <f t="shared" si="22"/>
        <v>BE</v>
      </c>
    </row>
    <row r="430" spans="12:13" x14ac:dyDescent="0.3">
      <c r="L430" s="77">
        <f t="shared" si="21"/>
        <v>0</v>
      </c>
      <c r="M430" s="78" t="str">
        <f t="shared" si="22"/>
        <v>BE</v>
      </c>
    </row>
    <row r="431" spans="12:13" x14ac:dyDescent="0.3">
      <c r="L431" s="77">
        <f t="shared" si="21"/>
        <v>0</v>
      </c>
      <c r="M431" s="78" t="str">
        <f t="shared" si="22"/>
        <v>BE</v>
      </c>
    </row>
    <row r="432" spans="12:13" x14ac:dyDescent="0.3">
      <c r="L432" s="77">
        <f t="shared" si="21"/>
        <v>0</v>
      </c>
      <c r="M432" s="78" t="str">
        <f t="shared" si="22"/>
        <v>BE</v>
      </c>
    </row>
    <row r="433" spans="12:13" x14ac:dyDescent="0.3">
      <c r="L433" s="77">
        <f t="shared" si="21"/>
        <v>0</v>
      </c>
      <c r="M433" s="78" t="str">
        <f t="shared" si="22"/>
        <v>BE</v>
      </c>
    </row>
    <row r="434" spans="12:13" x14ac:dyDescent="0.3">
      <c r="L434" s="77">
        <f t="shared" si="21"/>
        <v>0</v>
      </c>
      <c r="M434" s="78" t="str">
        <f t="shared" si="22"/>
        <v>BE</v>
      </c>
    </row>
    <row r="435" spans="12:13" x14ac:dyDescent="0.3">
      <c r="L435" s="77">
        <f t="shared" si="21"/>
        <v>0</v>
      </c>
      <c r="M435" s="78" t="str">
        <f t="shared" si="22"/>
        <v>BE</v>
      </c>
    </row>
    <row r="436" spans="12:13" x14ac:dyDescent="0.3">
      <c r="L436" s="77">
        <f t="shared" si="21"/>
        <v>0</v>
      </c>
      <c r="M436" s="78" t="str">
        <f t="shared" si="22"/>
        <v>BE</v>
      </c>
    </row>
    <row r="437" spans="12:13" x14ac:dyDescent="0.3">
      <c r="L437" s="77">
        <f t="shared" si="21"/>
        <v>0</v>
      </c>
      <c r="M437" s="78" t="str">
        <f t="shared" si="22"/>
        <v>BE</v>
      </c>
    </row>
    <row r="438" spans="12:13" x14ac:dyDescent="0.3">
      <c r="L438" s="77">
        <f t="shared" si="21"/>
        <v>0</v>
      </c>
      <c r="M438" s="78" t="str">
        <f t="shared" si="22"/>
        <v>BE</v>
      </c>
    </row>
    <row r="439" spans="12:13" x14ac:dyDescent="0.3">
      <c r="L439" s="77">
        <f t="shared" si="21"/>
        <v>0</v>
      </c>
      <c r="M439" s="78" t="str">
        <f t="shared" si="22"/>
        <v>BE</v>
      </c>
    </row>
    <row r="440" spans="12:13" x14ac:dyDescent="0.3">
      <c r="L440" s="77">
        <f t="shared" si="21"/>
        <v>0</v>
      </c>
      <c r="M440" s="78" t="str">
        <f t="shared" si="22"/>
        <v>BE</v>
      </c>
    </row>
    <row r="441" spans="12:13" x14ac:dyDescent="0.3">
      <c r="L441" s="77">
        <f t="shared" si="21"/>
        <v>0</v>
      </c>
      <c r="M441" s="78" t="str">
        <f t="shared" si="22"/>
        <v>BE</v>
      </c>
    </row>
    <row r="442" spans="12:13" x14ac:dyDescent="0.3">
      <c r="L442" s="77">
        <f t="shared" si="21"/>
        <v>0</v>
      </c>
      <c r="M442" s="78" t="str">
        <f t="shared" si="22"/>
        <v>BE</v>
      </c>
    </row>
    <row r="443" spans="12:13" x14ac:dyDescent="0.3">
      <c r="L443" s="77">
        <f t="shared" si="21"/>
        <v>0</v>
      </c>
      <c r="M443" s="78" t="str">
        <f t="shared" si="22"/>
        <v>BE</v>
      </c>
    </row>
    <row r="444" spans="12:13" x14ac:dyDescent="0.3">
      <c r="L444" s="77">
        <f t="shared" si="21"/>
        <v>0</v>
      </c>
      <c r="M444" s="78" t="str">
        <f t="shared" si="22"/>
        <v>BE</v>
      </c>
    </row>
    <row r="445" spans="12:13" x14ac:dyDescent="0.3">
      <c r="L445" s="77">
        <f t="shared" si="21"/>
        <v>0</v>
      </c>
      <c r="M445" s="78" t="str">
        <f t="shared" si="22"/>
        <v>BE</v>
      </c>
    </row>
    <row r="446" spans="12:13" x14ac:dyDescent="0.3">
      <c r="L446" s="77">
        <f t="shared" si="21"/>
        <v>0</v>
      </c>
      <c r="M446" s="78" t="str">
        <f t="shared" si="22"/>
        <v>BE</v>
      </c>
    </row>
    <row r="447" spans="12:13" x14ac:dyDescent="0.3">
      <c r="L447" s="77">
        <f t="shared" si="21"/>
        <v>0</v>
      </c>
      <c r="M447" s="78" t="str">
        <f t="shared" si="22"/>
        <v>BE</v>
      </c>
    </row>
    <row r="448" spans="12:13" x14ac:dyDescent="0.3">
      <c r="L448" s="77">
        <f t="shared" si="21"/>
        <v>0</v>
      </c>
      <c r="M448" s="78" t="str">
        <f t="shared" si="22"/>
        <v>BE</v>
      </c>
    </row>
    <row r="449" spans="12:13" x14ac:dyDescent="0.3">
      <c r="L449" s="77">
        <f t="shared" si="21"/>
        <v>0</v>
      </c>
      <c r="M449" s="78" t="str">
        <f t="shared" si="22"/>
        <v>BE</v>
      </c>
    </row>
    <row r="450" spans="12:13" x14ac:dyDescent="0.3">
      <c r="L450" s="77">
        <f t="shared" si="21"/>
        <v>0</v>
      </c>
      <c r="M450" s="78" t="str">
        <f t="shared" si="22"/>
        <v>BE</v>
      </c>
    </row>
    <row r="451" spans="12:13" x14ac:dyDescent="0.3">
      <c r="L451" s="77">
        <f t="shared" ref="L451:L504" si="23">IF(ISBLANK(K451),IF(H451="Long",(J451-I451)*G451,(I451-J451)*G451),IF(H451="Long",(J451-I451)*(G451/2)+(K451-I451)*(G451/2),(I451-J451)*(G451/2)+(I451-K451)*(G451/2)))</f>
        <v>0</v>
      </c>
      <c r="M451" s="78" t="str">
        <f t="shared" ref="M451:M504" si="24">_xlfn.IFS(L451&gt;0,"win",L451&lt;0,"lose",L451=0,"BE")</f>
        <v>BE</v>
      </c>
    </row>
    <row r="452" spans="12:13" x14ac:dyDescent="0.3">
      <c r="L452" s="77">
        <f t="shared" si="23"/>
        <v>0</v>
      </c>
      <c r="M452" s="78" t="str">
        <f t="shared" si="24"/>
        <v>BE</v>
      </c>
    </row>
    <row r="453" spans="12:13" x14ac:dyDescent="0.3">
      <c r="L453" s="77">
        <f t="shared" si="23"/>
        <v>0</v>
      </c>
      <c r="M453" s="78" t="str">
        <f t="shared" si="24"/>
        <v>BE</v>
      </c>
    </row>
    <row r="454" spans="12:13" x14ac:dyDescent="0.3">
      <c r="L454" s="77">
        <f t="shared" si="23"/>
        <v>0</v>
      </c>
      <c r="M454" s="78" t="str">
        <f t="shared" si="24"/>
        <v>BE</v>
      </c>
    </row>
    <row r="455" spans="12:13" x14ac:dyDescent="0.3">
      <c r="L455" s="77">
        <f t="shared" si="23"/>
        <v>0</v>
      </c>
      <c r="M455" s="78" t="str">
        <f t="shared" si="24"/>
        <v>BE</v>
      </c>
    </row>
    <row r="456" spans="12:13" x14ac:dyDescent="0.3">
      <c r="L456" s="77">
        <f t="shared" si="23"/>
        <v>0</v>
      </c>
      <c r="M456" s="78" t="str">
        <f t="shared" si="24"/>
        <v>BE</v>
      </c>
    </row>
    <row r="457" spans="12:13" x14ac:dyDescent="0.3">
      <c r="L457" s="77">
        <f t="shared" si="23"/>
        <v>0</v>
      </c>
      <c r="M457" s="78" t="str">
        <f t="shared" si="24"/>
        <v>BE</v>
      </c>
    </row>
    <row r="458" spans="12:13" x14ac:dyDescent="0.3">
      <c r="L458" s="77">
        <f t="shared" si="23"/>
        <v>0</v>
      </c>
      <c r="M458" s="78" t="str">
        <f t="shared" si="24"/>
        <v>BE</v>
      </c>
    </row>
    <row r="459" spans="12:13" x14ac:dyDescent="0.3">
      <c r="L459" s="77">
        <f t="shared" si="23"/>
        <v>0</v>
      </c>
      <c r="M459" s="78" t="str">
        <f t="shared" si="24"/>
        <v>BE</v>
      </c>
    </row>
    <row r="460" spans="12:13" x14ac:dyDescent="0.3">
      <c r="L460" s="77">
        <f t="shared" si="23"/>
        <v>0</v>
      </c>
      <c r="M460" s="78" t="str">
        <f t="shared" si="24"/>
        <v>BE</v>
      </c>
    </row>
    <row r="461" spans="12:13" x14ac:dyDescent="0.3">
      <c r="L461" s="77">
        <f t="shared" si="23"/>
        <v>0</v>
      </c>
      <c r="M461" s="78" t="str">
        <f t="shared" si="24"/>
        <v>BE</v>
      </c>
    </row>
    <row r="462" spans="12:13" x14ac:dyDescent="0.3">
      <c r="L462" s="77">
        <f t="shared" si="23"/>
        <v>0</v>
      </c>
      <c r="M462" s="78" t="str">
        <f t="shared" si="24"/>
        <v>BE</v>
      </c>
    </row>
    <row r="463" spans="12:13" x14ac:dyDescent="0.3">
      <c r="L463" s="77">
        <f t="shared" si="23"/>
        <v>0</v>
      </c>
      <c r="M463" s="78" t="str">
        <f t="shared" si="24"/>
        <v>BE</v>
      </c>
    </row>
    <row r="464" spans="12:13" x14ac:dyDescent="0.3">
      <c r="L464" s="77">
        <f t="shared" si="23"/>
        <v>0</v>
      </c>
      <c r="M464" s="78" t="str">
        <f t="shared" si="24"/>
        <v>BE</v>
      </c>
    </row>
    <row r="465" spans="12:13" x14ac:dyDescent="0.3">
      <c r="L465" s="77">
        <f t="shared" si="23"/>
        <v>0</v>
      </c>
      <c r="M465" s="78" t="str">
        <f t="shared" si="24"/>
        <v>BE</v>
      </c>
    </row>
    <row r="466" spans="12:13" x14ac:dyDescent="0.3">
      <c r="L466" s="77">
        <f t="shared" si="23"/>
        <v>0</v>
      </c>
      <c r="M466" s="78" t="str">
        <f t="shared" si="24"/>
        <v>BE</v>
      </c>
    </row>
    <row r="467" spans="12:13" x14ac:dyDescent="0.3">
      <c r="L467" s="77">
        <f t="shared" si="23"/>
        <v>0</v>
      </c>
      <c r="M467" s="78" t="str">
        <f t="shared" si="24"/>
        <v>BE</v>
      </c>
    </row>
    <row r="468" spans="12:13" x14ac:dyDescent="0.3">
      <c r="L468" s="77">
        <f t="shared" si="23"/>
        <v>0</v>
      </c>
      <c r="M468" s="78" t="str">
        <f t="shared" si="24"/>
        <v>BE</v>
      </c>
    </row>
    <row r="469" spans="12:13" x14ac:dyDescent="0.3">
      <c r="L469" s="77">
        <f t="shared" si="23"/>
        <v>0</v>
      </c>
      <c r="M469" s="78" t="str">
        <f t="shared" si="24"/>
        <v>BE</v>
      </c>
    </row>
    <row r="470" spans="12:13" x14ac:dyDescent="0.3">
      <c r="L470" s="77">
        <f t="shared" si="23"/>
        <v>0</v>
      </c>
      <c r="M470" s="78" t="str">
        <f t="shared" si="24"/>
        <v>BE</v>
      </c>
    </row>
    <row r="471" spans="12:13" x14ac:dyDescent="0.3">
      <c r="L471" s="77">
        <f t="shared" si="23"/>
        <v>0</v>
      </c>
      <c r="M471" s="78" t="str">
        <f t="shared" si="24"/>
        <v>BE</v>
      </c>
    </row>
    <row r="472" spans="12:13" x14ac:dyDescent="0.3">
      <c r="L472" s="77">
        <f t="shared" si="23"/>
        <v>0</v>
      </c>
      <c r="M472" s="78" t="str">
        <f t="shared" si="24"/>
        <v>BE</v>
      </c>
    </row>
    <row r="473" spans="12:13" x14ac:dyDescent="0.3">
      <c r="L473" s="77">
        <f t="shared" si="23"/>
        <v>0</v>
      </c>
      <c r="M473" s="78" t="str">
        <f t="shared" si="24"/>
        <v>BE</v>
      </c>
    </row>
    <row r="474" spans="12:13" x14ac:dyDescent="0.3">
      <c r="L474" s="77">
        <f t="shared" si="23"/>
        <v>0</v>
      </c>
      <c r="M474" s="78" t="str">
        <f t="shared" si="24"/>
        <v>BE</v>
      </c>
    </row>
    <row r="475" spans="12:13" x14ac:dyDescent="0.3">
      <c r="L475" s="77">
        <f t="shared" si="23"/>
        <v>0</v>
      </c>
      <c r="M475" s="78" t="str">
        <f t="shared" si="24"/>
        <v>BE</v>
      </c>
    </row>
    <row r="476" spans="12:13" x14ac:dyDescent="0.3">
      <c r="L476" s="77">
        <f t="shared" si="23"/>
        <v>0</v>
      </c>
      <c r="M476" s="78" t="str">
        <f t="shared" si="24"/>
        <v>BE</v>
      </c>
    </row>
    <row r="477" spans="12:13" x14ac:dyDescent="0.3">
      <c r="L477" s="77">
        <f t="shared" si="23"/>
        <v>0</v>
      </c>
      <c r="M477" s="78" t="str">
        <f t="shared" si="24"/>
        <v>BE</v>
      </c>
    </row>
    <row r="478" spans="12:13" x14ac:dyDescent="0.3">
      <c r="L478" s="77">
        <f t="shared" si="23"/>
        <v>0</v>
      </c>
      <c r="M478" s="78" t="str">
        <f t="shared" si="24"/>
        <v>BE</v>
      </c>
    </row>
    <row r="479" spans="12:13" x14ac:dyDescent="0.3">
      <c r="L479" s="77">
        <f t="shared" si="23"/>
        <v>0</v>
      </c>
      <c r="M479" s="78" t="str">
        <f t="shared" si="24"/>
        <v>BE</v>
      </c>
    </row>
    <row r="480" spans="12:13" x14ac:dyDescent="0.3">
      <c r="L480" s="77">
        <f t="shared" si="23"/>
        <v>0</v>
      </c>
      <c r="M480" s="78" t="str">
        <f t="shared" si="24"/>
        <v>BE</v>
      </c>
    </row>
    <row r="481" spans="12:13" x14ac:dyDescent="0.3">
      <c r="L481" s="77">
        <f t="shared" si="23"/>
        <v>0</v>
      </c>
      <c r="M481" s="78" t="str">
        <f t="shared" si="24"/>
        <v>BE</v>
      </c>
    </row>
    <row r="482" spans="12:13" x14ac:dyDescent="0.3">
      <c r="L482" s="77">
        <f t="shared" si="23"/>
        <v>0</v>
      </c>
      <c r="M482" s="78" t="str">
        <f t="shared" si="24"/>
        <v>BE</v>
      </c>
    </row>
    <row r="483" spans="12:13" x14ac:dyDescent="0.3">
      <c r="L483" s="77">
        <f t="shared" si="23"/>
        <v>0</v>
      </c>
      <c r="M483" s="78" t="str">
        <f t="shared" si="24"/>
        <v>BE</v>
      </c>
    </row>
    <row r="484" spans="12:13" x14ac:dyDescent="0.3">
      <c r="L484" s="77">
        <f t="shared" si="23"/>
        <v>0</v>
      </c>
      <c r="M484" s="78" t="str">
        <f t="shared" si="24"/>
        <v>BE</v>
      </c>
    </row>
    <row r="485" spans="12:13" x14ac:dyDescent="0.3">
      <c r="L485" s="77">
        <f t="shared" si="23"/>
        <v>0</v>
      </c>
      <c r="M485" s="78" t="str">
        <f t="shared" si="24"/>
        <v>BE</v>
      </c>
    </row>
    <row r="486" spans="12:13" x14ac:dyDescent="0.3">
      <c r="L486" s="77">
        <f t="shared" si="23"/>
        <v>0</v>
      </c>
      <c r="M486" s="78" t="str">
        <f t="shared" si="24"/>
        <v>BE</v>
      </c>
    </row>
    <row r="487" spans="12:13" x14ac:dyDescent="0.3">
      <c r="L487" s="77">
        <f t="shared" si="23"/>
        <v>0</v>
      </c>
      <c r="M487" s="78" t="str">
        <f t="shared" si="24"/>
        <v>BE</v>
      </c>
    </row>
    <row r="488" spans="12:13" x14ac:dyDescent="0.3">
      <c r="L488" s="77">
        <f t="shared" si="23"/>
        <v>0</v>
      </c>
      <c r="M488" s="78" t="str">
        <f t="shared" si="24"/>
        <v>BE</v>
      </c>
    </row>
    <row r="489" spans="12:13" x14ac:dyDescent="0.3">
      <c r="L489" s="77">
        <f t="shared" si="23"/>
        <v>0</v>
      </c>
      <c r="M489" s="78" t="str">
        <f t="shared" si="24"/>
        <v>BE</v>
      </c>
    </row>
    <row r="490" spans="12:13" x14ac:dyDescent="0.3">
      <c r="L490" s="77">
        <f t="shared" si="23"/>
        <v>0</v>
      </c>
      <c r="M490" s="78" t="str">
        <f t="shared" si="24"/>
        <v>BE</v>
      </c>
    </row>
    <row r="491" spans="12:13" x14ac:dyDescent="0.3">
      <c r="L491" s="77">
        <f t="shared" si="23"/>
        <v>0</v>
      </c>
      <c r="M491" s="78" t="str">
        <f t="shared" si="24"/>
        <v>BE</v>
      </c>
    </row>
    <row r="492" spans="12:13" x14ac:dyDescent="0.3">
      <c r="L492" s="77">
        <f t="shared" si="23"/>
        <v>0</v>
      </c>
      <c r="M492" s="78" t="str">
        <f t="shared" si="24"/>
        <v>BE</v>
      </c>
    </row>
    <row r="493" spans="12:13" x14ac:dyDescent="0.3">
      <c r="L493" s="77">
        <f t="shared" si="23"/>
        <v>0</v>
      </c>
      <c r="M493" s="78" t="str">
        <f t="shared" si="24"/>
        <v>BE</v>
      </c>
    </row>
    <row r="494" spans="12:13" x14ac:dyDescent="0.3">
      <c r="L494" s="77">
        <f t="shared" si="23"/>
        <v>0</v>
      </c>
      <c r="M494" s="78" t="str">
        <f t="shared" si="24"/>
        <v>BE</v>
      </c>
    </row>
    <row r="495" spans="12:13" x14ac:dyDescent="0.3">
      <c r="L495" s="77">
        <f t="shared" si="23"/>
        <v>0</v>
      </c>
      <c r="M495" s="78" t="str">
        <f t="shared" si="24"/>
        <v>BE</v>
      </c>
    </row>
    <row r="496" spans="12:13" x14ac:dyDescent="0.3">
      <c r="L496" s="77">
        <f t="shared" si="23"/>
        <v>0</v>
      </c>
      <c r="M496" s="78" t="str">
        <f t="shared" si="24"/>
        <v>BE</v>
      </c>
    </row>
    <row r="497" spans="12:13" x14ac:dyDescent="0.3">
      <c r="L497" s="77">
        <f t="shared" si="23"/>
        <v>0</v>
      </c>
      <c r="M497" s="78" t="str">
        <f t="shared" si="24"/>
        <v>BE</v>
      </c>
    </row>
    <row r="498" spans="12:13" x14ac:dyDescent="0.3">
      <c r="L498" s="77">
        <f t="shared" si="23"/>
        <v>0</v>
      </c>
      <c r="M498" s="78" t="str">
        <f t="shared" si="24"/>
        <v>BE</v>
      </c>
    </row>
    <row r="499" spans="12:13" x14ac:dyDescent="0.3">
      <c r="L499" s="77">
        <f t="shared" si="23"/>
        <v>0</v>
      </c>
      <c r="M499" s="78" t="str">
        <f t="shared" si="24"/>
        <v>BE</v>
      </c>
    </row>
    <row r="500" spans="12:13" x14ac:dyDescent="0.3">
      <c r="L500" s="77">
        <f t="shared" si="23"/>
        <v>0</v>
      </c>
      <c r="M500" s="78" t="str">
        <f t="shared" si="24"/>
        <v>BE</v>
      </c>
    </row>
    <row r="501" spans="12:13" x14ac:dyDescent="0.3">
      <c r="L501" s="77">
        <f t="shared" si="23"/>
        <v>0</v>
      </c>
      <c r="M501" s="78" t="str">
        <f t="shared" si="24"/>
        <v>BE</v>
      </c>
    </row>
    <row r="502" spans="12:13" x14ac:dyDescent="0.3">
      <c r="L502" s="77">
        <f t="shared" si="23"/>
        <v>0</v>
      </c>
      <c r="M502" s="78" t="str">
        <f t="shared" si="24"/>
        <v>BE</v>
      </c>
    </row>
    <row r="503" spans="12:13" x14ac:dyDescent="0.3">
      <c r="L503" s="77">
        <f t="shared" si="23"/>
        <v>0</v>
      </c>
      <c r="M503" s="78" t="str">
        <f t="shared" si="24"/>
        <v>BE</v>
      </c>
    </row>
    <row r="504" spans="12:13" x14ac:dyDescent="0.3">
      <c r="L504" s="77">
        <f t="shared" si="23"/>
        <v>0</v>
      </c>
      <c r="M504" s="78" t="str">
        <f t="shared" si="24"/>
        <v>BE</v>
      </c>
    </row>
  </sheetData>
  <phoneticPr fontId="40" type="noConversion"/>
  <conditionalFormatting sqref="I1">
    <cfRule type="dataBar" priority="2">
      <dataBar showValue="0">
        <cfvo type="num" val="0"/>
        <cfvo type="num" val="3"/>
        <color rgb="FFC00000"/>
      </dataBar>
      <extLst>
        <ext xmlns:x14="http://schemas.microsoft.com/office/spreadsheetml/2009/9/main" uri="{B025F937-C7B1-47D3-B67F-A62EFF666E3E}">
          <x14:id>{DDDFD76B-8056-4ACF-AE0B-1DD6D95065D3}</x14:id>
        </ext>
      </extLst>
    </cfRule>
  </conditionalFormatting>
  <conditionalFormatting sqref="K1">
    <cfRule type="dataBar" priority="1">
      <dataBar showValue="0">
        <cfvo type="num" val="0"/>
        <cfvo type="num" val="5"/>
        <color rgb="FF00B050"/>
      </dataBar>
      <extLst>
        <ext xmlns:x14="http://schemas.microsoft.com/office/spreadsheetml/2009/9/main" uri="{B025F937-C7B1-47D3-B67F-A62EFF666E3E}">
          <x14:id>{9F21874E-FD5B-4898-9569-FF8BB616FE70}</x14:id>
        </ext>
      </extLst>
    </cfRule>
  </conditionalFormatting>
  <conditionalFormatting sqref="L3:L504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S5:S27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S35:S38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X2:Y2">
    <cfRule type="cellIs" dxfId="3" priority="7" operator="lessThan">
      <formula>0</formula>
    </cfRule>
    <cfRule type="cellIs" dxfId="2" priority="8" operator="greaterThan">
      <formula>0</formula>
    </cfRule>
  </conditionalFormatting>
  <dataValidations count="5">
    <dataValidation type="list" allowBlank="1" showInputMessage="1" showErrorMessage="1" sqref="C3:C504" xr:uid="{00000000-0002-0000-0000-000000000000}">
      <formula1>$R$5:$R$27</formula1>
    </dataValidation>
    <dataValidation type="list" allowBlank="1" showInputMessage="1" showErrorMessage="1" sqref="D386:D504" xr:uid="{00000000-0002-0000-0000-000001000000}">
      <formula1>$R$29:$R$32</formula1>
    </dataValidation>
    <dataValidation type="list" allowBlank="1" showInputMessage="1" showErrorMessage="1" sqref="H3:H504" xr:uid="{00000000-0002-0000-0000-000003000000}">
      <formula1>"Long,Short"</formula1>
    </dataValidation>
    <dataValidation type="list" allowBlank="1" showInputMessage="1" showErrorMessage="1" sqref="D25:D385" xr:uid="{34506831-0E45-42DF-B6A2-DB7B771A9A94}">
      <formula1>$R$35:$R$38</formula1>
    </dataValidation>
    <dataValidation type="list" showInputMessage="1" showErrorMessage="1" sqref="D3:D24" xr:uid="{6546FB94-A8B2-40BA-8F6D-84F013420138}">
      <formula1>$R$35:$R$38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DFD76B-8056-4ACF-AE0B-1DD6D95065D3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9F21874E-FD5B-4898-9569-FF8BB616FE70}">
            <x14:dataBar minLength="0" maxLength="100" direction="leftToRight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K1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错误类型!$D$2:$D$10</xm:f>
          </x14:formula1>
          <xm:sqref>E3:E28 E30:E504</xm:sqref>
        </x14:dataValidation>
        <x14:dataValidation type="list" allowBlank="1" showInputMessage="1" showErrorMessage="1" xr:uid="{00000000-0002-0000-0000-000004000000}">
          <x14:formula1>
            <xm:f>错误类型!$A$2:$A$20</xm:f>
          </x14:formula1>
          <xm:sqref>P3:P504</xm:sqref>
        </x14:dataValidation>
        <x14:dataValidation type="list" allowBlank="1" showInputMessage="1" showErrorMessage="1" xr:uid="{D1BA5C35-F7FE-43E9-BF14-6B2DC9A5996B}">
          <x14:formula1>
            <xm:f>错误类型!$D$2:$D$11</xm:f>
          </x14:formula1>
          <xm:sqref>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1"/>
  <sheetViews>
    <sheetView workbookViewId="0">
      <selection activeCell="D2" sqref="D2:D11"/>
    </sheetView>
  </sheetViews>
  <sheetFormatPr defaultRowHeight="14" x14ac:dyDescent="0.3"/>
  <cols>
    <col min="1" max="1" width="38.6640625" bestFit="1" customWidth="1"/>
    <col min="2" max="2" width="8.6640625" customWidth="1"/>
    <col min="4" max="4" width="20.83203125" customWidth="1"/>
  </cols>
  <sheetData>
    <row r="1" spans="1:4" x14ac:dyDescent="0.3">
      <c r="A1" s="62" t="s">
        <v>15</v>
      </c>
      <c r="B1" s="62" t="s">
        <v>54</v>
      </c>
      <c r="D1" s="63" t="s">
        <v>55</v>
      </c>
    </row>
    <row r="2" spans="1:4" ht="16.5" x14ac:dyDescent="0.3">
      <c r="A2" s="64" t="s">
        <v>56</v>
      </c>
      <c r="B2" s="64">
        <f>COUNTIF(日志!$P3:$P1048576,错误类型!A2)</f>
        <v>0</v>
      </c>
      <c r="D2" s="84" t="s">
        <v>79</v>
      </c>
    </row>
    <row r="3" spans="1:4" ht="16.5" x14ac:dyDescent="0.3">
      <c r="A3" s="65" t="s">
        <v>57</v>
      </c>
      <c r="B3" s="65">
        <f>COUNTIF(日志!$P3:$P1048576,错误类型!A3)</f>
        <v>0</v>
      </c>
      <c r="D3" s="84" t="s">
        <v>81</v>
      </c>
    </row>
    <row r="4" spans="1:4" ht="16.5" x14ac:dyDescent="0.3">
      <c r="A4" s="64" t="s">
        <v>58</v>
      </c>
      <c r="B4" s="64">
        <f>COUNTIF(日志!$P3:$P1048576,错误类型!A4)</f>
        <v>1</v>
      </c>
      <c r="D4" s="84" t="s">
        <v>83</v>
      </c>
    </row>
    <row r="5" spans="1:4" ht="14.5" x14ac:dyDescent="0.3">
      <c r="A5" s="64" t="s">
        <v>59</v>
      </c>
      <c r="B5" s="64">
        <f>COUNTIF(日志!$P3:$P1048576,错误类型!A5)</f>
        <v>3</v>
      </c>
      <c r="D5" s="86" t="s">
        <v>82</v>
      </c>
    </row>
    <row r="6" spans="1:4" ht="16.5" x14ac:dyDescent="0.3">
      <c r="A6" s="64" t="s">
        <v>60</v>
      </c>
      <c r="B6" s="64">
        <f>COUNTIF(日志!$P3:$P1048576,错误类型!A6)</f>
        <v>0</v>
      </c>
      <c r="D6" s="84" t="s">
        <v>87</v>
      </c>
    </row>
    <row r="7" spans="1:4" ht="16.5" x14ac:dyDescent="0.3">
      <c r="A7" s="64" t="s">
        <v>61</v>
      </c>
      <c r="B7" s="64">
        <f>COUNTIF(日志!$P3:$P1048576,错误类型!A7)</f>
        <v>0</v>
      </c>
      <c r="D7" s="88" t="s">
        <v>89</v>
      </c>
    </row>
    <row r="8" spans="1:4" ht="16.5" x14ac:dyDescent="0.3">
      <c r="A8" s="64" t="s">
        <v>62</v>
      </c>
      <c r="B8" s="64">
        <f>COUNTIF(日志!$P3:$P1048576,错误类型!A8)</f>
        <v>0</v>
      </c>
      <c r="D8" s="84" t="s">
        <v>90</v>
      </c>
    </row>
    <row r="9" spans="1:4" ht="14.5" x14ac:dyDescent="0.3">
      <c r="A9" s="64" t="s">
        <v>63</v>
      </c>
      <c r="B9" s="64">
        <f>COUNTIF(日志!$P3:$P1048576,错误类型!A9)</f>
        <v>0</v>
      </c>
      <c r="D9" s="86" t="s">
        <v>95</v>
      </c>
    </row>
    <row r="10" spans="1:4" ht="14.5" x14ac:dyDescent="0.3">
      <c r="A10" s="64" t="s">
        <v>64</v>
      </c>
      <c r="B10" s="64">
        <f>COUNTIF(日志!$P3:$P1048576,错误类型!A10)</f>
        <v>0</v>
      </c>
      <c r="D10" s="86" t="s">
        <v>99</v>
      </c>
    </row>
    <row r="11" spans="1:4" ht="14.5" x14ac:dyDescent="0.3">
      <c r="D11" s="103" t="s">
        <v>100</v>
      </c>
    </row>
  </sheetData>
  <phoneticPr fontId="4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"/>
  <sheetViews>
    <sheetView workbookViewId="0"/>
  </sheetViews>
  <sheetFormatPr defaultRowHeight="14" x14ac:dyDescent="0.3"/>
  <cols>
    <col min="1" max="1" width="9.6640625" bestFit="1" customWidth="1"/>
    <col min="2" max="2" width="13.5" customWidth="1"/>
    <col min="3" max="3" width="14.5" customWidth="1"/>
    <col min="4" max="4" width="12.6640625" customWidth="1"/>
    <col min="5" max="5" width="13.5" customWidth="1"/>
    <col min="6" max="6" width="18" customWidth="1"/>
    <col min="8" max="8" width="27.5" customWidth="1"/>
  </cols>
  <sheetData>
    <row r="1" spans="1:16" ht="16.5" x14ac:dyDescent="0.3">
      <c r="A1" s="66" t="s">
        <v>7</v>
      </c>
      <c r="B1" s="66" t="s">
        <v>65</v>
      </c>
      <c r="C1" s="66" t="s">
        <v>66</v>
      </c>
      <c r="D1" s="66" t="s">
        <v>67</v>
      </c>
      <c r="E1" s="66" t="s">
        <v>68</v>
      </c>
      <c r="F1" s="66" t="s">
        <v>69</v>
      </c>
      <c r="G1" s="66" t="s">
        <v>3</v>
      </c>
      <c r="H1" s="66" t="s">
        <v>70</v>
      </c>
      <c r="L1" s="67"/>
      <c r="P1" s="67"/>
    </row>
    <row r="2" spans="1:16" ht="16.5" x14ac:dyDescent="0.3">
      <c r="A2" s="68">
        <v>45762</v>
      </c>
      <c r="B2" s="69" t="s">
        <v>71</v>
      </c>
      <c r="C2" s="70" t="s">
        <v>71</v>
      </c>
      <c r="D2" s="71" t="s">
        <v>71</v>
      </c>
      <c r="E2" s="26" t="s">
        <v>71</v>
      </c>
      <c r="F2" s="26" t="s">
        <v>71</v>
      </c>
      <c r="G2" s="26">
        <v>-14</v>
      </c>
      <c r="L2" s="70"/>
      <c r="P2" s="70"/>
    </row>
    <row r="3" spans="1:16" x14ac:dyDescent="0.3">
      <c r="A3" s="68">
        <v>45763</v>
      </c>
      <c r="B3" s="26" t="s">
        <v>72</v>
      </c>
      <c r="C3" s="26" t="s">
        <v>72</v>
      </c>
      <c r="D3" s="26" t="s">
        <v>72</v>
      </c>
      <c r="E3" s="26" t="s">
        <v>71</v>
      </c>
      <c r="F3" s="26" t="s">
        <v>72</v>
      </c>
      <c r="G3" s="26">
        <v>-60</v>
      </c>
    </row>
  </sheetData>
  <phoneticPr fontId="40" type="noConversion"/>
  <conditionalFormatting sqref="B2:F200">
    <cfRule type="expression" dxfId="1" priority="1">
      <formula>B2="❌"</formula>
    </cfRule>
    <cfRule type="expression" dxfId="0" priority="2">
      <formula>B2="✅"</formula>
    </cfRule>
  </conditionalFormatting>
  <dataValidations count="1">
    <dataValidation type="list" allowBlank="1" showInputMessage="1" showErrorMessage="1" sqref="B2:F200" xr:uid="{00000000-0002-0000-0200-000000000000}">
      <formula1>"✅,❌"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错误类型</vt:lpstr>
      <vt:lpstr>别瞎搞日记本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菜真寒</dc:creator>
  <cp:lastModifiedBy>zhihan chen</cp:lastModifiedBy>
  <dcterms:created xsi:type="dcterms:W3CDTF">2025-12-20T13:14:09Z</dcterms:created>
  <dcterms:modified xsi:type="dcterms:W3CDTF">2025-12-20T15:55:20Z</dcterms:modified>
</cp:coreProperties>
</file>